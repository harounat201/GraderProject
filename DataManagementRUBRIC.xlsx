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arouna/Downloads/"/>
    </mc:Choice>
  </mc:AlternateContent>
  <xr:revisionPtr revIDLastSave="0" documentId="8_{A300EA28-CBCC-9540-B4AD-CAAEAD8B806E}" xr6:coauthVersionLast="47" xr6:coauthVersionMax="47" xr10:uidLastSave="{00000000-0000-0000-0000-000000000000}"/>
  <bookViews>
    <workbookView xWindow="1080" yWindow="1180" windowWidth="27640" windowHeight="16640" xr2:uid="{9467E07E-61C7-4B4F-A346-15A656182FB5}"/>
  </bookViews>
  <sheets>
    <sheet name="Scoring Guide" sheetId="1" r:id="rId1"/>
  </sheets>
  <externalReferences>
    <externalReference r:id="rId2"/>
  </externalReferences>
  <definedNames>
    <definedName name="anscount" hidden="1">2</definedName>
    <definedName name="BinValues">'[1]T 5 - Complete'!$F$12:$F$17</definedName>
    <definedName name="Clients">'[1]Lookup Tables'!$C$19:$D$28</definedName>
    <definedName name="CriteriaList">'[1]T 6 - Data Validation Complete'!$J$7:$J$16</definedName>
    <definedName name="_xlnm.Database">#REF!</definedName>
    <definedName name="Employees">'[1]Lookup Tables'!$C$33:$E$72</definedName>
    <definedName name="limcount" hidden="1">2</definedName>
    <definedName name="nDataAnalysis" hidden="1">0</definedName>
    <definedName name="nRegMod" hidden="1">0</definedName>
    <definedName name="sencount" hidden="1">4</definedName>
    <definedName name="solver_ver">1.2</definedName>
    <definedName name="SPreturns">'[1]T 5 - Complete'!$D$12:$D$108</definedName>
    <definedName name="Work_Codes">'[1]Lookup Tables'!$C$12:$E$14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E62" i="1" s="1"/>
  <c r="E60" i="1"/>
</calcChain>
</file>

<file path=xl/sharedStrings.xml><?xml version="1.0" encoding="utf-8"?>
<sst xmlns="http://schemas.openxmlformats.org/spreadsheetml/2006/main" count="49" uniqueCount="49">
  <si>
    <t>Points Earned:</t>
  </si>
  <si>
    <t xml:space="preserve"> 2 points per late day deducted.</t>
  </si>
  <si>
    <t>Late points (if any)</t>
  </si>
  <si>
    <r>
      <rPr>
        <b/>
        <sz val="12"/>
        <color rgb="FF002060"/>
        <rFont val="Arial"/>
        <family val="2"/>
      </rPr>
      <t>Possible</t>
    </r>
    <r>
      <rPr>
        <b/>
        <sz val="12"/>
        <rFont val="Arial"/>
        <family val="2"/>
      </rPr>
      <t>/</t>
    </r>
    <r>
      <rPr>
        <b/>
        <sz val="12"/>
        <color rgb="FFFF0000"/>
        <rFont val="Arial"/>
        <family val="2"/>
      </rPr>
      <t>Deducted</t>
    </r>
    <r>
      <rPr>
        <b/>
        <sz val="12"/>
        <rFont val="Arial"/>
        <family val="2"/>
      </rPr>
      <t xml:space="preserve"> Points:</t>
    </r>
  </si>
  <si>
    <t xml:space="preserve">           </t>
  </si>
  <si>
    <t xml:space="preserve">      Iced Tea, Lemon Lime, and Orange shown for Winter.</t>
  </si>
  <si>
    <t xml:space="preserve">      Sales $, Page field = Season, set to Winter.</t>
  </si>
  <si>
    <t xml:space="preserve">    - View 4: No Row field, Column = Type, Data = Sum of</t>
  </si>
  <si>
    <t xml:space="preserve">      Only 2023 data, no Year Subtotals, No Grand Totals.</t>
  </si>
  <si>
    <r>
      <t xml:space="preserve">      Data = Sum </t>
    </r>
    <r>
      <rPr>
        <i/>
        <sz val="10"/>
        <rFont val="Arial"/>
        <family val="2"/>
      </rPr>
      <t>and</t>
    </r>
    <r>
      <rPr>
        <sz val="10"/>
        <rFont val="Arial"/>
        <family val="2"/>
      </rPr>
      <t xml:space="preserve"> Average of Sales $.</t>
    </r>
  </si>
  <si>
    <t xml:space="preserve">      Column = State w/only California and Texas data shown.</t>
  </si>
  <si>
    <t xml:space="preserve">    - View 3: Row = Year as outer and Season as inner,</t>
  </si>
  <si>
    <t xml:space="preserve">      Grand Totals for both Rows and Columns.</t>
  </si>
  <si>
    <t xml:space="preserve">      Season, Data = Average of Sales $.</t>
  </si>
  <si>
    <t xml:space="preserve">    - View 2: Row = Type, Column = state, Page = Year and</t>
  </si>
  <si>
    <t xml:space="preserve">      Grand Totals as last row of the Pivot Table.</t>
  </si>
  <si>
    <t xml:space="preserve">      Sum of Sales $.</t>
  </si>
  <si>
    <t xml:space="preserve">    - View 1: Row = State , Column = Year , Data =  </t>
  </si>
  <si>
    <t>T 7 - Create Four Pivot Table Views</t>
  </si>
  <si>
    <t xml:space="preserve">      in cells in the data range.</t>
  </si>
  <si>
    <t xml:space="preserve">    - Drop-down controls display of green shading</t>
  </si>
  <si>
    <t xml:space="preserve">    - "Select a criterion" drop-down shows number options.</t>
  </si>
  <si>
    <t>T 6 - Data Validation</t>
  </si>
  <si>
    <t xml:space="preserve">    - # of monthly returns are correct.</t>
  </si>
  <si>
    <t xml:space="preserve">    - # of monthly returns values are an array.</t>
  </si>
  <si>
    <t xml:space="preserve">    - Bin values described in the Task.</t>
  </si>
  <si>
    <t>T 5 - FREQUENCY()</t>
  </si>
  <si>
    <t xml:space="preserve">    - Hours are totaled by client name.</t>
  </si>
  <si>
    <t xml:space="preserve">    - Sales are totaled by client region (E, N, S, W).</t>
  </si>
  <si>
    <t>When displayed in outline level 3 (or 4)</t>
  </si>
  <si>
    <t>T 4 - Summarize &amp; Subtotal</t>
  </si>
  <si>
    <t xml:space="preserve">    - Last names in last-name column of the report.</t>
  </si>
  <si>
    <t xml:space="preserve">    - First names in first-name column of the report.</t>
  </si>
  <si>
    <t>T 3 - Text to Columns</t>
  </si>
  <si>
    <t xml:space="preserve">    - Total pay is summed for each employee.</t>
  </si>
  <si>
    <t xml:space="preserve">    - All six report columns contain appropriate data.</t>
  </si>
  <si>
    <t>T 2 - Report Outlines</t>
  </si>
  <si>
    <t>tasks. This is to be expected.</t>
  </si>
  <si>
    <t>Note: Original record order changed by subsequent</t>
  </si>
  <si>
    <t xml:space="preserve">    - Total Pay formulas and results correct.</t>
  </si>
  <si>
    <t xml:space="preserve">    - Hourly Rate formulas (lookup) and results correct.</t>
  </si>
  <si>
    <t xml:space="preserve">    - Total Hours formulas and results correct.</t>
  </si>
  <si>
    <t>T 1 - VLOOKUP</t>
  </si>
  <si>
    <t>Grader Notes</t>
  </si>
  <si>
    <t>Points Deducted</t>
  </si>
  <si>
    <t>Possible Points</t>
  </si>
  <si>
    <t>Task/Technique</t>
  </si>
  <si>
    <t>Scoring guide - for your information only. Details on how your work is scored.</t>
  </si>
  <si>
    <t>Managing Data with Excel Scoring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</si>
</sst>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2"/>
      <color indexed="62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206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color rgb="FF002060"/>
      <name val="Arial"/>
      <family val="2"/>
    </font>
    <font>
      <u/>
      <sz val="10"/>
      <name val="Arial"/>
      <family val="2"/>
    </font>
    <font>
      <b/>
      <sz val="10"/>
      <color rgb="FF008000"/>
      <name val="Arial"/>
      <family val="2"/>
    </font>
    <font>
      <i/>
      <sz val="12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 vertical="center"/>
    </xf>
    <xf numFmtId="0" fontId="3" fillId="0" borderId="0" xfId="2" applyFont="1"/>
    <xf numFmtId="0" fontId="1" fillId="0" borderId="2" xfId="1" applyBorder="1"/>
    <xf numFmtId="0" fontId="4" fillId="0" borderId="0" xfId="2" applyFont="1" applyAlignment="1">
      <alignment horizontal="right"/>
    </xf>
    <xf numFmtId="0" fontId="5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4" fillId="0" borderId="0" xfId="1" applyFont="1" applyAlignment="1">
      <alignment horizontal="right" vertical="center"/>
    </xf>
    <xf numFmtId="0" fontId="1" fillId="0" borderId="5" xfId="1" applyBorder="1"/>
    <xf numFmtId="0" fontId="1" fillId="0" borderId="5" xfId="1" applyBorder="1" applyAlignment="1">
      <alignment horizontal="center"/>
    </xf>
    <xf numFmtId="0" fontId="1" fillId="2" borderId="6" xfId="1" applyFill="1" applyBorder="1"/>
    <xf numFmtId="0" fontId="7" fillId="3" borderId="6" xfId="1" applyFont="1" applyFill="1" applyBorder="1" applyAlignment="1">
      <alignment horizontal="center"/>
    </xf>
    <xf numFmtId="0" fontId="8" fillId="4" borderId="6" xfId="1" applyFont="1" applyFill="1" applyBorder="1" applyAlignment="1">
      <alignment horizontal="center"/>
    </xf>
    <xf numFmtId="0" fontId="1" fillId="0" borderId="6" xfId="1" applyBorder="1"/>
    <xf numFmtId="0" fontId="1" fillId="2" borderId="0" xfId="1" applyFill="1"/>
    <xf numFmtId="0" fontId="7" fillId="3" borderId="0" xfId="1" applyFont="1" applyFill="1" applyAlignment="1">
      <alignment horizontal="center"/>
    </xf>
    <xf numFmtId="0" fontId="8" fillId="4" borderId="0" xfId="1" applyFont="1" applyFill="1" applyAlignment="1">
      <alignment horizontal="center"/>
    </xf>
    <xf numFmtId="0" fontId="1" fillId="3" borderId="0" xfId="1" applyFill="1"/>
    <xf numFmtId="0" fontId="10" fillId="3" borderId="0" xfId="1" applyFont="1" applyFill="1"/>
    <xf numFmtId="0" fontId="11" fillId="3" borderId="0" xfId="1" applyFont="1" applyFill="1"/>
    <xf numFmtId="0" fontId="12" fillId="3" borderId="0" xfId="1" applyFont="1" applyFill="1"/>
    <xf numFmtId="0" fontId="1" fillId="3" borderId="6" xfId="1" applyFill="1" applyBorder="1"/>
    <xf numFmtId="0" fontId="1" fillId="3" borderId="6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8" fillId="0" borderId="5" xfId="1" applyFont="1" applyBorder="1" applyAlignment="1">
      <alignment horizontal="center" wrapText="1"/>
    </xf>
    <xf numFmtId="0" fontId="8" fillId="0" borderId="5" xfId="1" applyFont="1" applyBorder="1" applyAlignment="1">
      <alignment horizontal="center"/>
    </xf>
    <xf numFmtId="0" fontId="13" fillId="0" borderId="0" xfId="1" applyFont="1"/>
    <xf numFmtId="0" fontId="2" fillId="0" borderId="0" xfId="1" applyFont="1"/>
  </cellXfs>
  <cellStyles count="3">
    <cellStyle name="Normal" xfId="0" builtinId="0"/>
    <cellStyle name="Normal 2 2 2" xfId="1" xr:uid="{1C03B347-2F6F-BB4B-90E0-B2AF17403F2A}"/>
    <cellStyle name="Normal 2 2 2 2" xfId="2" xr:uid="{B1E41E23-41DD-AC4E-94BA-31BA6A573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27</xdr:row>
      <xdr:rowOff>0</xdr:rowOff>
    </xdr:from>
    <xdr:to>
      <xdr:col>1</xdr:col>
      <xdr:colOff>523875</xdr:colOff>
      <xdr:row>27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5AD317-7A86-4F45-A949-6CA23B6A425D}"/>
            </a:ext>
          </a:extLst>
        </xdr:cNvPr>
        <xdr:cNvSpPr>
          <a:spLocks noChangeArrowheads="1"/>
        </xdr:cNvSpPr>
      </xdr:nvSpPr>
      <xdr:spPr bwMode="auto">
        <a:xfrm>
          <a:off x="1050925" y="4800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22</xdr:row>
      <xdr:rowOff>0</xdr:rowOff>
    </xdr:from>
    <xdr:to>
      <xdr:col>1</xdr:col>
      <xdr:colOff>523875</xdr:colOff>
      <xdr:row>22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483409-A2C0-2D40-9486-906165E69415}"/>
            </a:ext>
          </a:extLst>
        </xdr:cNvPr>
        <xdr:cNvSpPr>
          <a:spLocks noChangeArrowheads="1"/>
        </xdr:cNvSpPr>
      </xdr:nvSpPr>
      <xdr:spPr bwMode="auto">
        <a:xfrm>
          <a:off x="1050925" y="3911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18</xdr:row>
      <xdr:rowOff>0</xdr:rowOff>
    </xdr:from>
    <xdr:to>
      <xdr:col>1</xdr:col>
      <xdr:colOff>523875</xdr:colOff>
      <xdr:row>18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58ACF0-78E5-7E49-9E21-C3E7364EE1B4}"/>
            </a:ext>
          </a:extLst>
        </xdr:cNvPr>
        <xdr:cNvSpPr>
          <a:spLocks noChangeArrowheads="1"/>
        </xdr:cNvSpPr>
      </xdr:nvSpPr>
      <xdr:spPr bwMode="auto">
        <a:xfrm>
          <a:off x="1050925" y="32004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14</xdr:row>
      <xdr:rowOff>0</xdr:rowOff>
    </xdr:from>
    <xdr:to>
      <xdr:col>1</xdr:col>
      <xdr:colOff>523875</xdr:colOff>
      <xdr:row>14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87B958B-7576-5044-A549-0C802F7F578D}"/>
            </a:ext>
          </a:extLst>
        </xdr:cNvPr>
        <xdr:cNvSpPr>
          <a:spLocks noChangeArrowheads="1"/>
        </xdr:cNvSpPr>
      </xdr:nvSpPr>
      <xdr:spPr bwMode="auto">
        <a:xfrm>
          <a:off x="1050925" y="24892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7</xdr:row>
      <xdr:rowOff>0</xdr:rowOff>
    </xdr:from>
    <xdr:to>
      <xdr:col>1</xdr:col>
      <xdr:colOff>523875</xdr:colOff>
      <xdr:row>7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05738E1-949E-6D42-9865-FFB4C22FEE51}"/>
            </a:ext>
          </a:extLst>
        </xdr:cNvPr>
        <xdr:cNvSpPr>
          <a:spLocks noChangeArrowheads="1"/>
        </xdr:cNvSpPr>
      </xdr:nvSpPr>
      <xdr:spPr bwMode="auto">
        <a:xfrm>
          <a:off x="1050925" y="1244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409575</xdr:colOff>
      <xdr:row>33</xdr:row>
      <xdr:rowOff>0</xdr:rowOff>
    </xdr:from>
    <xdr:to>
      <xdr:col>1</xdr:col>
      <xdr:colOff>542925</xdr:colOff>
      <xdr:row>33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75018EB-3B64-214D-AA9F-3BF39AB03F9C}"/>
            </a:ext>
          </a:extLst>
        </xdr:cNvPr>
        <xdr:cNvSpPr>
          <a:spLocks noChangeArrowheads="1"/>
        </xdr:cNvSpPr>
      </xdr:nvSpPr>
      <xdr:spPr bwMode="auto">
        <a:xfrm>
          <a:off x="1069975" y="58674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39</xdr:row>
      <xdr:rowOff>0</xdr:rowOff>
    </xdr:from>
    <xdr:to>
      <xdr:col>1</xdr:col>
      <xdr:colOff>523875</xdr:colOff>
      <xdr:row>39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4C7B1EB-B5CB-8B49-BF4C-DFFF6713AA0F}"/>
            </a:ext>
          </a:extLst>
        </xdr:cNvPr>
        <xdr:cNvSpPr>
          <a:spLocks noChangeArrowheads="1"/>
        </xdr:cNvSpPr>
      </xdr:nvSpPr>
      <xdr:spPr bwMode="auto">
        <a:xfrm>
          <a:off x="1050925" y="69342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27</xdr:row>
      <xdr:rowOff>0</xdr:rowOff>
    </xdr:from>
    <xdr:to>
      <xdr:col>1</xdr:col>
      <xdr:colOff>523875</xdr:colOff>
      <xdr:row>27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A1629BD-1820-D046-8B1F-F862F1A3BD77}"/>
            </a:ext>
          </a:extLst>
        </xdr:cNvPr>
        <xdr:cNvSpPr>
          <a:spLocks noChangeArrowheads="1"/>
        </xdr:cNvSpPr>
      </xdr:nvSpPr>
      <xdr:spPr bwMode="auto">
        <a:xfrm>
          <a:off x="1050925" y="4800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22</xdr:row>
      <xdr:rowOff>0</xdr:rowOff>
    </xdr:from>
    <xdr:to>
      <xdr:col>1</xdr:col>
      <xdr:colOff>523875</xdr:colOff>
      <xdr:row>22</xdr:row>
      <xdr:rowOff>133350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0C7EB4-2A63-5444-9904-1E18993DD737}"/>
            </a:ext>
          </a:extLst>
        </xdr:cNvPr>
        <xdr:cNvSpPr>
          <a:spLocks noChangeArrowheads="1"/>
        </xdr:cNvSpPr>
      </xdr:nvSpPr>
      <xdr:spPr bwMode="auto">
        <a:xfrm>
          <a:off x="1050925" y="3911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18</xdr:row>
      <xdr:rowOff>0</xdr:rowOff>
    </xdr:from>
    <xdr:to>
      <xdr:col>1</xdr:col>
      <xdr:colOff>523875</xdr:colOff>
      <xdr:row>18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A010563-5AC7-E441-9243-CEAB9B757EEF}"/>
            </a:ext>
          </a:extLst>
        </xdr:cNvPr>
        <xdr:cNvSpPr>
          <a:spLocks noChangeArrowheads="1"/>
        </xdr:cNvSpPr>
      </xdr:nvSpPr>
      <xdr:spPr bwMode="auto">
        <a:xfrm>
          <a:off x="1050925" y="32004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14</xdr:row>
      <xdr:rowOff>0</xdr:rowOff>
    </xdr:from>
    <xdr:to>
      <xdr:col>1</xdr:col>
      <xdr:colOff>523875</xdr:colOff>
      <xdr:row>14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9A2316-9E90-FE4E-93FC-568815A69F06}"/>
            </a:ext>
          </a:extLst>
        </xdr:cNvPr>
        <xdr:cNvSpPr>
          <a:spLocks noChangeArrowheads="1"/>
        </xdr:cNvSpPr>
      </xdr:nvSpPr>
      <xdr:spPr bwMode="auto">
        <a:xfrm>
          <a:off x="1050925" y="24892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7</xdr:row>
      <xdr:rowOff>0</xdr:rowOff>
    </xdr:from>
    <xdr:to>
      <xdr:col>1</xdr:col>
      <xdr:colOff>523875</xdr:colOff>
      <xdr:row>7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53235DB-5E41-864F-9477-4E527E9D4333}"/>
            </a:ext>
          </a:extLst>
        </xdr:cNvPr>
        <xdr:cNvSpPr>
          <a:spLocks noChangeArrowheads="1"/>
        </xdr:cNvSpPr>
      </xdr:nvSpPr>
      <xdr:spPr bwMode="auto">
        <a:xfrm>
          <a:off x="1050925" y="1244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400050</xdr:colOff>
      <xdr:row>33</xdr:row>
      <xdr:rowOff>9525</xdr:rowOff>
    </xdr:from>
    <xdr:to>
      <xdr:col>1</xdr:col>
      <xdr:colOff>533400</xdr:colOff>
      <xdr:row>33</xdr:row>
      <xdr:rowOff>142875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4EE982C-42B2-0941-96F3-6AB7CB8D68A0}"/>
            </a:ext>
          </a:extLst>
        </xdr:cNvPr>
        <xdr:cNvSpPr>
          <a:spLocks noChangeArrowheads="1"/>
        </xdr:cNvSpPr>
      </xdr:nvSpPr>
      <xdr:spPr bwMode="auto">
        <a:xfrm>
          <a:off x="1060450" y="5876925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ouna/Downloads/2025DataManagementCompleted%20(1).xlsm" TargetMode="External"/><Relationship Id="rId1" Type="http://schemas.openxmlformats.org/officeDocument/2006/relationships/externalLinkPath" Target="2025DataManagementCompleted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  "/>
      <sheetName val="T 1 - VLOOKUP()"/>
      <sheetName val="T 1 - Complete"/>
      <sheetName val="T 1 - Complete (sort-filter)"/>
      <sheetName val="Lookup Tables"/>
      <sheetName val="T 2 - Report Outlines"/>
      <sheetName val="T 2 - Partial"/>
      <sheetName val="T 2 - Complete"/>
      <sheetName val="T 3 - Text to Columns"/>
      <sheetName val="T 3 - Complete"/>
      <sheetName val="T 4 - Summarize &amp; Subtotal"/>
      <sheetName val="T 4 - Complete"/>
      <sheetName val="T 5 - FREQUENCY"/>
      <sheetName val="T 5 - Complete"/>
      <sheetName val="T 6 - Data Validation"/>
      <sheetName val="T 6 - Data Validation Complete"/>
      <sheetName val="T 7 - Pivot Tables"/>
      <sheetName val="T 7 - Complete"/>
    </sheetNames>
    <sheetDataSet>
      <sheetData sheetId="0"/>
      <sheetData sheetId="1"/>
      <sheetData sheetId="2"/>
      <sheetData sheetId="3"/>
      <sheetData sheetId="4">
        <row r="12">
          <cell r="C12" t="str">
            <v>W3</v>
          </cell>
          <cell r="D12" t="str">
            <v>Corporate Sales</v>
          </cell>
          <cell r="E12">
            <v>200</v>
          </cell>
        </row>
        <row r="13">
          <cell r="C13" t="str">
            <v>W4</v>
          </cell>
          <cell r="D13" t="str">
            <v>Residential Sales</v>
          </cell>
          <cell r="E13">
            <v>150</v>
          </cell>
        </row>
        <row r="14">
          <cell r="C14" t="str">
            <v>W8</v>
          </cell>
          <cell r="D14" t="str">
            <v>Walk-in Sales</v>
          </cell>
          <cell r="E14">
            <v>95</v>
          </cell>
        </row>
        <row r="19">
          <cell r="C19" t="str">
            <v>C10</v>
          </cell>
          <cell r="D19" t="str">
            <v>Mallard &amp; Hernandez, Inc.</v>
          </cell>
        </row>
        <row r="20">
          <cell r="C20" t="str">
            <v>C15</v>
          </cell>
          <cell r="D20" t="str">
            <v>Rodriguez Catering</v>
          </cell>
        </row>
        <row r="21">
          <cell r="C21" t="str">
            <v>C20</v>
          </cell>
          <cell r="D21" t="str">
            <v>Mack's Moving &amp; Storage</v>
          </cell>
        </row>
        <row r="22">
          <cell r="C22" t="str">
            <v>C30</v>
          </cell>
          <cell r="D22" t="str">
            <v>Wardell, Mingus, and Krenshaw</v>
          </cell>
        </row>
        <row r="23">
          <cell r="C23" t="str">
            <v>C40</v>
          </cell>
          <cell r="D23" t="str">
            <v>City of Morton, NC</v>
          </cell>
        </row>
        <row r="24">
          <cell r="C24" t="str">
            <v>C50</v>
          </cell>
          <cell r="D24" t="str">
            <v>School of the Environment</v>
          </cell>
        </row>
        <row r="25">
          <cell r="C25" t="str">
            <v>C60</v>
          </cell>
          <cell r="D25" t="str">
            <v>Marshall Furniture</v>
          </cell>
        </row>
        <row r="26">
          <cell r="C26" t="str">
            <v>C70</v>
          </cell>
          <cell r="D26" t="str">
            <v>Tandy's, Inc.</v>
          </cell>
        </row>
        <row r="27">
          <cell r="C27" t="str">
            <v>C80</v>
          </cell>
          <cell r="D27" t="str">
            <v>Renfrow Printers &amp; Publishers</v>
          </cell>
        </row>
        <row r="28">
          <cell r="C28" t="str">
            <v>C90</v>
          </cell>
          <cell r="D28" t="str">
            <v>Sanford Booksellers, Ltd.</v>
          </cell>
        </row>
        <row r="33">
          <cell r="C33">
            <v>1</v>
          </cell>
          <cell r="D33" t="str">
            <v>Charles Morton</v>
          </cell>
          <cell r="E33" t="str">
            <v>Corporate Sales</v>
          </cell>
        </row>
        <row r="34">
          <cell r="C34">
            <v>2</v>
          </cell>
          <cell r="D34" t="str">
            <v>Allison Ives</v>
          </cell>
          <cell r="E34" t="str">
            <v>Residential Sales</v>
          </cell>
        </row>
        <row r="35">
          <cell r="C35">
            <v>3</v>
          </cell>
          <cell r="D35" t="str">
            <v>Jackson Lin</v>
          </cell>
          <cell r="E35" t="str">
            <v>Walk-in Sales</v>
          </cell>
        </row>
        <row r="36">
          <cell r="C36">
            <v>4</v>
          </cell>
          <cell r="D36" t="str">
            <v>Rodrigo Alvarez</v>
          </cell>
          <cell r="E36" t="str">
            <v>Corporate Sales</v>
          </cell>
        </row>
        <row r="37">
          <cell r="C37">
            <v>5</v>
          </cell>
          <cell r="D37" t="str">
            <v>Arthur Reilly</v>
          </cell>
          <cell r="E37" t="str">
            <v>Residential Sales</v>
          </cell>
        </row>
        <row r="38">
          <cell r="C38">
            <v>6</v>
          </cell>
          <cell r="D38" t="str">
            <v>Jordan Hill</v>
          </cell>
          <cell r="E38" t="str">
            <v>Walk-in Sales</v>
          </cell>
        </row>
        <row r="39">
          <cell r="C39">
            <v>7</v>
          </cell>
          <cell r="D39" t="str">
            <v>Susanne Foster</v>
          </cell>
          <cell r="E39" t="str">
            <v>Corporate Sales</v>
          </cell>
        </row>
        <row r="40">
          <cell r="C40">
            <v>8</v>
          </cell>
          <cell r="D40" t="str">
            <v>Scott Dilworth</v>
          </cell>
          <cell r="E40" t="str">
            <v>Residential Sales</v>
          </cell>
        </row>
        <row r="41">
          <cell r="C41">
            <v>9</v>
          </cell>
          <cell r="D41" t="str">
            <v>Kate Emerson</v>
          </cell>
          <cell r="E41" t="str">
            <v>Walk-in Sales</v>
          </cell>
        </row>
        <row r="42">
          <cell r="C42">
            <v>10</v>
          </cell>
          <cell r="D42" t="str">
            <v>Lori Anderson</v>
          </cell>
          <cell r="E42" t="str">
            <v>Corporate Sales</v>
          </cell>
        </row>
        <row r="43">
          <cell r="C43">
            <v>11</v>
          </cell>
          <cell r="D43" t="str">
            <v>Eric Stokes</v>
          </cell>
          <cell r="E43" t="str">
            <v>Residential Sales</v>
          </cell>
        </row>
        <row r="44">
          <cell r="C44">
            <v>12</v>
          </cell>
          <cell r="D44" t="str">
            <v>Sarah Heller</v>
          </cell>
          <cell r="E44" t="str">
            <v>Walk-in Sales</v>
          </cell>
        </row>
        <row r="45">
          <cell r="C45">
            <v>13</v>
          </cell>
          <cell r="D45" t="str">
            <v>Carol Johnson</v>
          </cell>
          <cell r="E45" t="str">
            <v>Corporate Sales</v>
          </cell>
        </row>
        <row r="46">
          <cell r="C46">
            <v>14</v>
          </cell>
          <cell r="D46" t="str">
            <v>Kevin McCallum</v>
          </cell>
          <cell r="E46" t="str">
            <v>Residential Sales</v>
          </cell>
        </row>
        <row r="47">
          <cell r="C47">
            <v>15</v>
          </cell>
          <cell r="D47" t="str">
            <v>James Hartigan</v>
          </cell>
          <cell r="E47" t="str">
            <v>Walk-in Sales</v>
          </cell>
        </row>
        <row r="48">
          <cell r="C48">
            <v>16</v>
          </cell>
          <cell r="D48" t="str">
            <v>Thomas Hoffman</v>
          </cell>
          <cell r="E48" t="str">
            <v>Corporate Sales</v>
          </cell>
        </row>
        <row r="49">
          <cell r="C49">
            <v>17</v>
          </cell>
          <cell r="D49" t="str">
            <v>Bryan Fowler</v>
          </cell>
          <cell r="E49" t="str">
            <v>Residential Sales</v>
          </cell>
        </row>
        <row r="50">
          <cell r="C50">
            <v>18</v>
          </cell>
          <cell r="D50" t="str">
            <v>Elizabeth Roy</v>
          </cell>
          <cell r="E50" t="str">
            <v>Walk-in Sales</v>
          </cell>
        </row>
        <row r="51">
          <cell r="C51">
            <v>19</v>
          </cell>
          <cell r="D51" t="str">
            <v>Nadine Smith</v>
          </cell>
          <cell r="E51" t="str">
            <v>Corporate Sales</v>
          </cell>
        </row>
        <row r="52">
          <cell r="C52">
            <v>20</v>
          </cell>
          <cell r="D52" t="str">
            <v>John Pane</v>
          </cell>
          <cell r="E52" t="str">
            <v>Residential Sales</v>
          </cell>
        </row>
        <row r="53">
          <cell r="C53">
            <v>21</v>
          </cell>
          <cell r="D53" t="str">
            <v>John O'Donnell</v>
          </cell>
          <cell r="E53" t="str">
            <v>Walk-in Sales</v>
          </cell>
        </row>
        <row r="54">
          <cell r="C54">
            <v>22</v>
          </cell>
          <cell r="D54" t="str">
            <v>Far Wen</v>
          </cell>
          <cell r="E54" t="str">
            <v>Corporate Sales</v>
          </cell>
        </row>
        <row r="55">
          <cell r="C55">
            <v>23</v>
          </cell>
          <cell r="D55" t="str">
            <v>Carolyn Roxby</v>
          </cell>
          <cell r="E55" t="str">
            <v>Residential Sales</v>
          </cell>
        </row>
        <row r="56">
          <cell r="C56">
            <v>24</v>
          </cell>
          <cell r="D56" t="str">
            <v>Angela Garcia</v>
          </cell>
          <cell r="E56" t="str">
            <v>Walk-in Sales</v>
          </cell>
        </row>
        <row r="57">
          <cell r="C57">
            <v>25</v>
          </cell>
          <cell r="D57" t="str">
            <v>Tiffany Rifkin</v>
          </cell>
          <cell r="E57" t="str">
            <v>Corporate Sales</v>
          </cell>
        </row>
        <row r="58">
          <cell r="C58">
            <v>26</v>
          </cell>
          <cell r="D58" t="str">
            <v>Sam Carver</v>
          </cell>
          <cell r="E58" t="str">
            <v>Residential Sales</v>
          </cell>
        </row>
        <row r="59">
          <cell r="C59">
            <v>27</v>
          </cell>
          <cell r="D59" t="str">
            <v>Everett Ko</v>
          </cell>
          <cell r="E59" t="str">
            <v>Walk-in Sales</v>
          </cell>
        </row>
        <row r="60">
          <cell r="C60">
            <v>28</v>
          </cell>
          <cell r="D60" t="str">
            <v>Norman Hardison</v>
          </cell>
          <cell r="E60" t="str">
            <v>Corporate Sales</v>
          </cell>
        </row>
        <row r="61">
          <cell r="C61">
            <v>29</v>
          </cell>
          <cell r="D61" t="str">
            <v>Pamela Buncombe</v>
          </cell>
          <cell r="E61" t="str">
            <v>Residential Sales</v>
          </cell>
        </row>
        <row r="62">
          <cell r="C62">
            <v>30</v>
          </cell>
          <cell r="D62" t="str">
            <v>Ardis Foxworth</v>
          </cell>
          <cell r="E62" t="str">
            <v>Walk-in Sales</v>
          </cell>
        </row>
        <row r="63">
          <cell r="C63">
            <v>31</v>
          </cell>
          <cell r="D63" t="str">
            <v>Bob Brickey</v>
          </cell>
          <cell r="E63" t="str">
            <v>Corporate Sales</v>
          </cell>
        </row>
        <row r="64">
          <cell r="C64">
            <v>32</v>
          </cell>
          <cell r="D64" t="str">
            <v>Casper Johnson</v>
          </cell>
          <cell r="E64" t="str">
            <v>Residential Sales</v>
          </cell>
        </row>
        <row r="65">
          <cell r="C65">
            <v>33</v>
          </cell>
          <cell r="D65" t="str">
            <v>Steven Galloway</v>
          </cell>
          <cell r="E65" t="str">
            <v>Walk-in Sales</v>
          </cell>
        </row>
        <row r="66">
          <cell r="C66">
            <v>34</v>
          </cell>
          <cell r="D66" t="str">
            <v>Peter Walton</v>
          </cell>
          <cell r="E66" t="str">
            <v>Corporate Sales</v>
          </cell>
        </row>
        <row r="67">
          <cell r="C67">
            <v>35</v>
          </cell>
          <cell r="D67" t="str">
            <v>Linda Huff</v>
          </cell>
          <cell r="E67" t="str">
            <v>Residential Sales</v>
          </cell>
        </row>
        <row r="68">
          <cell r="C68">
            <v>36</v>
          </cell>
          <cell r="D68" t="str">
            <v>Gary Seamans</v>
          </cell>
          <cell r="E68" t="str">
            <v>Walk-in Sales</v>
          </cell>
        </row>
        <row r="69">
          <cell r="C69">
            <v>37</v>
          </cell>
          <cell r="D69" t="str">
            <v>Jose Naron</v>
          </cell>
          <cell r="E69" t="str">
            <v>Corporate Sales</v>
          </cell>
        </row>
        <row r="70">
          <cell r="C70">
            <v>38</v>
          </cell>
          <cell r="D70" t="str">
            <v>Anne Neville</v>
          </cell>
          <cell r="E70" t="str">
            <v>Residential Sales</v>
          </cell>
        </row>
        <row r="71">
          <cell r="C71">
            <v>39</v>
          </cell>
          <cell r="D71" t="str">
            <v>Terri Rorick</v>
          </cell>
          <cell r="E71" t="str">
            <v>Walk-in Sales</v>
          </cell>
        </row>
        <row r="72">
          <cell r="C72">
            <v>40</v>
          </cell>
          <cell r="D72" t="str">
            <v>Renee Kringle</v>
          </cell>
          <cell r="E72" t="str">
            <v>Corporate Sales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2">
          <cell r="D12">
            <v>37.880000000000003</v>
          </cell>
          <cell r="F12">
            <v>-30</v>
          </cell>
        </row>
        <row r="13">
          <cell r="D13">
            <v>-11.91</v>
          </cell>
          <cell r="F13">
            <v>-15</v>
          </cell>
        </row>
        <row r="14">
          <cell r="D14">
            <v>-28.48</v>
          </cell>
          <cell r="F14">
            <v>0</v>
          </cell>
        </row>
        <row r="15">
          <cell r="D15">
            <v>-47.07</v>
          </cell>
          <cell r="F15">
            <v>15</v>
          </cell>
        </row>
        <row r="16">
          <cell r="D16">
            <v>-15.15</v>
          </cell>
          <cell r="F16">
            <v>30</v>
          </cell>
        </row>
        <row r="17">
          <cell r="D17">
            <v>46.59</v>
          </cell>
          <cell r="F17">
            <v>45</v>
          </cell>
        </row>
        <row r="18">
          <cell r="D18">
            <v>-5.94</v>
          </cell>
        </row>
        <row r="19">
          <cell r="D19">
            <v>41.37</v>
          </cell>
        </row>
        <row r="20">
          <cell r="D20">
            <v>27.92</v>
          </cell>
        </row>
        <row r="21">
          <cell r="D21">
            <v>-38.590000000000003</v>
          </cell>
        </row>
        <row r="22">
          <cell r="D22">
            <v>25.21</v>
          </cell>
        </row>
        <row r="23">
          <cell r="D23">
            <v>-5.45</v>
          </cell>
        </row>
        <row r="24">
          <cell r="D24">
            <v>-15.29</v>
          </cell>
        </row>
        <row r="25">
          <cell r="D25">
            <v>-17.86</v>
          </cell>
        </row>
        <row r="26">
          <cell r="D26">
            <v>12.43</v>
          </cell>
        </row>
        <row r="27">
          <cell r="D27">
            <v>19.45</v>
          </cell>
        </row>
        <row r="28">
          <cell r="D28">
            <v>13.8</v>
          </cell>
        </row>
        <row r="29">
          <cell r="D29">
            <v>30.72</v>
          </cell>
        </row>
        <row r="30">
          <cell r="D30">
            <v>-11.87</v>
          </cell>
        </row>
        <row r="31">
          <cell r="D31">
            <v>0</v>
          </cell>
        </row>
        <row r="32">
          <cell r="D32">
            <v>-0.65</v>
          </cell>
        </row>
        <row r="33">
          <cell r="D33">
            <v>10.26</v>
          </cell>
        </row>
        <row r="34">
          <cell r="D34">
            <v>21.78</v>
          </cell>
        </row>
        <row r="35">
          <cell r="D35">
            <v>16.46</v>
          </cell>
        </row>
        <row r="36">
          <cell r="D36">
            <v>11.78</v>
          </cell>
        </row>
        <row r="37">
          <cell r="D37">
            <v>-6.62</v>
          </cell>
        </row>
        <row r="38">
          <cell r="D38">
            <v>45.02</v>
          </cell>
        </row>
        <row r="39">
          <cell r="D39">
            <v>26.4</v>
          </cell>
        </row>
        <row r="40">
          <cell r="D40">
            <v>2.62</v>
          </cell>
        </row>
        <row r="41">
          <cell r="D41">
            <v>-14.31</v>
          </cell>
        </row>
        <row r="42">
          <cell r="D42">
            <v>38.06</v>
          </cell>
        </row>
        <row r="43">
          <cell r="D43">
            <v>8.48</v>
          </cell>
        </row>
        <row r="44">
          <cell r="D44">
            <v>-2.97</v>
          </cell>
        </row>
        <row r="45">
          <cell r="D45">
            <v>23.13</v>
          </cell>
        </row>
        <row r="46">
          <cell r="D46">
            <v>-11.81</v>
          </cell>
        </row>
        <row r="47">
          <cell r="D47">
            <v>18.89</v>
          </cell>
        </row>
        <row r="48">
          <cell r="D48">
            <v>12.97</v>
          </cell>
        </row>
        <row r="49">
          <cell r="D49">
            <v>9.06</v>
          </cell>
        </row>
        <row r="50">
          <cell r="D50">
            <v>-13.09</v>
          </cell>
        </row>
        <row r="51">
          <cell r="D51">
            <v>20.09</v>
          </cell>
        </row>
        <row r="52">
          <cell r="D52">
            <v>7.66</v>
          </cell>
        </row>
        <row r="53">
          <cell r="D53">
            <v>-11.36</v>
          </cell>
        </row>
        <row r="54">
          <cell r="D54">
            <v>0.1</v>
          </cell>
        </row>
        <row r="55">
          <cell r="D55">
            <v>10.79</v>
          </cell>
        </row>
        <row r="56">
          <cell r="D56">
            <v>15.63</v>
          </cell>
        </row>
        <row r="57">
          <cell r="D57">
            <v>-17.37</v>
          </cell>
        </row>
        <row r="58">
          <cell r="D58">
            <v>-29.72</v>
          </cell>
        </row>
        <row r="59">
          <cell r="D59">
            <v>31.55</v>
          </cell>
        </row>
        <row r="60">
          <cell r="D60">
            <v>19.149999999999999</v>
          </cell>
        </row>
        <row r="61">
          <cell r="D61">
            <v>-11.5</v>
          </cell>
        </row>
        <row r="62">
          <cell r="D62">
            <v>1.06</v>
          </cell>
        </row>
        <row r="63">
          <cell r="D63">
            <v>12.31</v>
          </cell>
        </row>
        <row r="64">
          <cell r="D64">
            <v>25.77</v>
          </cell>
        </row>
        <row r="65">
          <cell r="D65">
            <v>-9.73</v>
          </cell>
        </row>
        <row r="66">
          <cell r="D66">
            <v>14.76</v>
          </cell>
        </row>
        <row r="67">
          <cell r="D67">
            <v>17.27</v>
          </cell>
        </row>
        <row r="68">
          <cell r="D68">
            <v>1.4</v>
          </cell>
        </row>
        <row r="69">
          <cell r="D69">
            <v>26.33</v>
          </cell>
        </row>
        <row r="70">
          <cell r="D70">
            <v>14.62</v>
          </cell>
        </row>
        <row r="71">
          <cell r="D71">
            <v>2.0299999999999998</v>
          </cell>
        </row>
        <row r="72">
          <cell r="D72">
            <v>12.4</v>
          </cell>
        </row>
        <row r="73">
          <cell r="D73">
            <v>27.25</v>
          </cell>
        </row>
        <row r="74">
          <cell r="D74">
            <v>-6.56</v>
          </cell>
        </row>
        <row r="75">
          <cell r="D75">
            <v>26.31</v>
          </cell>
        </row>
        <row r="76">
          <cell r="D76">
            <v>4.46</v>
          </cell>
        </row>
        <row r="77">
          <cell r="D77">
            <v>7.06</v>
          </cell>
        </row>
        <row r="78">
          <cell r="D78">
            <v>-1.54</v>
          </cell>
        </row>
        <row r="79">
          <cell r="D79">
            <v>34.11</v>
          </cell>
        </row>
        <row r="80">
          <cell r="D80">
            <v>20.260000000000002</v>
          </cell>
        </row>
        <row r="81">
          <cell r="D81">
            <v>31.01</v>
          </cell>
        </row>
        <row r="82">
          <cell r="D82">
            <v>26.67</v>
          </cell>
        </row>
        <row r="83">
          <cell r="D83">
            <v>19.53</v>
          </cell>
        </row>
        <row r="84">
          <cell r="D84">
            <v>-10.14</v>
          </cell>
        </row>
        <row r="85">
          <cell r="D85">
            <v>-13.04</v>
          </cell>
        </row>
        <row r="86">
          <cell r="D86">
            <v>-23.37</v>
          </cell>
        </row>
        <row r="87">
          <cell r="D87">
            <v>26.38</v>
          </cell>
        </row>
        <row r="88">
          <cell r="D88">
            <v>8.99</v>
          </cell>
        </row>
        <row r="89">
          <cell r="D89">
            <v>3</v>
          </cell>
        </row>
        <row r="90">
          <cell r="D90">
            <v>13.62</v>
          </cell>
        </row>
        <row r="91">
          <cell r="D91">
            <v>3.53</v>
          </cell>
        </row>
        <row r="92">
          <cell r="D92">
            <v>-38.49</v>
          </cell>
        </row>
        <row r="93">
          <cell r="D93">
            <v>23.45</v>
          </cell>
        </row>
        <row r="94">
          <cell r="D94">
            <v>12.78</v>
          </cell>
        </row>
        <row r="95">
          <cell r="D95">
            <v>0</v>
          </cell>
        </row>
        <row r="96">
          <cell r="D96">
            <v>13.41</v>
          </cell>
        </row>
        <row r="97">
          <cell r="D97">
            <v>29.6</v>
          </cell>
        </row>
        <row r="98">
          <cell r="D98">
            <v>11.39</v>
          </cell>
        </row>
        <row r="99">
          <cell r="D99">
            <v>-0.73</v>
          </cell>
        </row>
        <row r="100">
          <cell r="D100">
            <v>9.5399999999999991</v>
          </cell>
        </row>
        <row r="101">
          <cell r="D101">
            <v>19.420000000000002</v>
          </cell>
        </row>
        <row r="102">
          <cell r="D102">
            <v>-6.24</v>
          </cell>
        </row>
        <row r="103">
          <cell r="D103">
            <v>28.88</v>
          </cell>
        </row>
        <row r="104">
          <cell r="D104">
            <v>16.260000000000002</v>
          </cell>
        </row>
        <row r="105">
          <cell r="D105">
            <v>26.89</v>
          </cell>
        </row>
        <row r="106">
          <cell r="D106">
            <v>-19.440000000000001</v>
          </cell>
        </row>
        <row r="107">
          <cell r="D107">
            <v>24.23</v>
          </cell>
        </row>
        <row r="108">
          <cell r="D108">
            <v>23.31</v>
          </cell>
        </row>
      </sheetData>
      <sheetData sheetId="14"/>
      <sheetData sheetId="15">
        <row r="7">
          <cell r="J7">
            <v>10</v>
          </cell>
        </row>
        <row r="8">
          <cell r="J8">
            <v>20</v>
          </cell>
        </row>
        <row r="9">
          <cell r="J9">
            <v>30</v>
          </cell>
        </row>
        <row r="10">
          <cell r="J10">
            <v>40</v>
          </cell>
        </row>
        <row r="11">
          <cell r="J11">
            <v>50</v>
          </cell>
        </row>
        <row r="12">
          <cell r="J12">
            <v>60</v>
          </cell>
        </row>
        <row r="13">
          <cell r="J13">
            <v>70</v>
          </cell>
        </row>
        <row r="14">
          <cell r="J14">
            <v>80</v>
          </cell>
        </row>
        <row r="15">
          <cell r="J15">
            <v>90</v>
          </cell>
        </row>
        <row r="16">
          <cell r="J16">
            <v>100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1246-735A-7345-90BE-6454D18ED01E}">
  <dimension ref="B2:F62"/>
  <sheetViews>
    <sheetView tabSelected="1" topLeftCell="A5" workbookViewId="0">
      <selection activeCell="J20" sqref="J20"/>
    </sheetView>
  </sheetViews>
  <sheetFormatPr baseColWidth="10" defaultColWidth="8.6640625" defaultRowHeight="14" x14ac:dyDescent="0.15"/>
  <cols>
    <col min="1" max="2" width="8.6640625" style="1"/>
    <col min="3" max="3" width="49.33203125" style="1" customWidth="1"/>
    <col min="4" max="4" width="10.6640625" style="1" customWidth="1"/>
    <col min="5" max="5" width="11.1640625" style="1" customWidth="1"/>
    <col min="6" max="6" width="23.83203125" style="1" customWidth="1"/>
    <col min="7" max="16384" width="8.6640625" style="1"/>
  </cols>
  <sheetData>
    <row r="2" spans="2:6" ht="16" x14ac:dyDescent="0.2">
      <c r="B2" s="30" t="s">
        <v>48</v>
      </c>
    </row>
    <row r="4" spans="2:6" ht="16" x14ac:dyDescent="0.2">
      <c r="B4" s="29" t="s">
        <v>47</v>
      </c>
    </row>
    <row r="6" spans="2:6" ht="29" thickBot="1" x14ac:dyDescent="0.2">
      <c r="B6" s="11"/>
      <c r="C6" s="28" t="s">
        <v>46</v>
      </c>
      <c r="D6" s="27" t="s">
        <v>45</v>
      </c>
      <c r="E6" s="27" t="s">
        <v>44</v>
      </c>
      <c r="F6" s="27" t="s">
        <v>43</v>
      </c>
    </row>
    <row r="7" spans="2:6" x14ac:dyDescent="0.15">
      <c r="D7" s="26"/>
      <c r="E7" s="26"/>
      <c r="F7" s="20"/>
    </row>
    <row r="8" spans="2:6" x14ac:dyDescent="0.15">
      <c r="B8" s="20"/>
      <c r="C8" s="21" t="s">
        <v>42</v>
      </c>
      <c r="D8" s="25"/>
      <c r="E8" s="25"/>
      <c r="F8" s="24"/>
    </row>
    <row r="9" spans="2:6" x14ac:dyDescent="0.15">
      <c r="B9" s="20"/>
      <c r="C9" s="20" t="s">
        <v>41</v>
      </c>
      <c r="D9" s="19">
        <v>2</v>
      </c>
      <c r="E9" s="18"/>
      <c r="F9" s="17"/>
    </row>
    <row r="10" spans="2:6" x14ac:dyDescent="0.15">
      <c r="B10" s="20"/>
      <c r="C10" s="20" t="s">
        <v>40</v>
      </c>
      <c r="D10" s="19">
        <v>2</v>
      </c>
      <c r="E10" s="18"/>
      <c r="F10" s="17"/>
    </row>
    <row r="11" spans="2:6" x14ac:dyDescent="0.15">
      <c r="B11" s="20"/>
      <c r="C11" s="20" t="s">
        <v>39</v>
      </c>
      <c r="D11" s="19">
        <v>1</v>
      </c>
      <c r="E11" s="18"/>
      <c r="F11" s="17"/>
    </row>
    <row r="12" spans="2:6" x14ac:dyDescent="0.15">
      <c r="B12" s="20"/>
      <c r="C12" s="23" t="s">
        <v>38</v>
      </c>
      <c r="D12" s="19"/>
      <c r="E12" s="18"/>
      <c r="F12" s="17"/>
    </row>
    <row r="13" spans="2:6" x14ac:dyDescent="0.15">
      <c r="B13" s="20"/>
      <c r="C13" s="23" t="s">
        <v>37</v>
      </c>
      <c r="D13" s="19"/>
      <c r="E13" s="18"/>
      <c r="F13" s="17"/>
    </row>
    <row r="14" spans="2:6" x14ac:dyDescent="0.15">
      <c r="B14" s="20"/>
      <c r="C14" s="20"/>
      <c r="D14" s="19"/>
      <c r="E14" s="18"/>
      <c r="F14" s="17"/>
    </row>
    <row r="15" spans="2:6" x14ac:dyDescent="0.15">
      <c r="B15" s="20"/>
      <c r="C15" s="21" t="s">
        <v>36</v>
      </c>
      <c r="D15" s="19"/>
      <c r="E15" s="18"/>
      <c r="F15" s="17"/>
    </row>
    <row r="16" spans="2:6" x14ac:dyDescent="0.15">
      <c r="B16" s="20"/>
      <c r="C16" s="20" t="s">
        <v>35</v>
      </c>
      <c r="D16" s="19">
        <v>2</v>
      </c>
      <c r="E16" s="18"/>
      <c r="F16" s="17"/>
    </row>
    <row r="17" spans="2:6" x14ac:dyDescent="0.15">
      <c r="B17" s="20"/>
      <c r="C17" s="20" t="s">
        <v>34</v>
      </c>
      <c r="D17" s="19">
        <v>2</v>
      </c>
      <c r="E17" s="18"/>
      <c r="F17" s="17"/>
    </row>
    <row r="18" spans="2:6" x14ac:dyDescent="0.15">
      <c r="B18" s="20"/>
      <c r="C18" s="20"/>
      <c r="D18" s="19"/>
      <c r="E18" s="18"/>
      <c r="F18" s="17"/>
    </row>
    <row r="19" spans="2:6" x14ac:dyDescent="0.15">
      <c r="B19" s="20"/>
      <c r="C19" s="21" t="s">
        <v>33</v>
      </c>
      <c r="D19" s="19"/>
      <c r="E19" s="18"/>
      <c r="F19" s="17"/>
    </row>
    <row r="20" spans="2:6" x14ac:dyDescent="0.15">
      <c r="B20" s="20"/>
      <c r="C20" s="20" t="s">
        <v>32</v>
      </c>
      <c r="D20" s="19">
        <v>0.5</v>
      </c>
      <c r="E20" s="18"/>
      <c r="F20" s="17"/>
    </row>
    <row r="21" spans="2:6" x14ac:dyDescent="0.15">
      <c r="B21" s="20"/>
      <c r="C21" s="20" t="s">
        <v>31</v>
      </c>
      <c r="D21" s="19">
        <v>0.5</v>
      </c>
      <c r="E21" s="18"/>
      <c r="F21" s="17"/>
    </row>
    <row r="22" spans="2:6" x14ac:dyDescent="0.15">
      <c r="B22" s="20"/>
      <c r="C22" s="20"/>
      <c r="D22" s="19"/>
      <c r="E22" s="18"/>
      <c r="F22" s="17"/>
    </row>
    <row r="23" spans="2:6" x14ac:dyDescent="0.15">
      <c r="B23" s="20"/>
      <c r="C23" s="21" t="s">
        <v>30</v>
      </c>
      <c r="D23" s="19"/>
      <c r="E23" s="18"/>
      <c r="F23" s="17"/>
    </row>
    <row r="24" spans="2:6" x14ac:dyDescent="0.15">
      <c r="B24" s="20"/>
      <c r="C24" s="22" t="s">
        <v>29</v>
      </c>
      <c r="D24" s="19"/>
      <c r="E24" s="18"/>
      <c r="F24" s="17"/>
    </row>
    <row r="25" spans="2:6" x14ac:dyDescent="0.15">
      <c r="B25" s="20"/>
      <c r="C25" s="20" t="s">
        <v>28</v>
      </c>
      <c r="D25" s="19">
        <v>2</v>
      </c>
      <c r="E25" s="18"/>
      <c r="F25" s="17"/>
    </row>
    <row r="26" spans="2:6" x14ac:dyDescent="0.15">
      <c r="B26" s="20"/>
      <c r="C26" s="20" t="s">
        <v>27</v>
      </c>
      <c r="D26" s="19">
        <v>2</v>
      </c>
      <c r="E26" s="18"/>
      <c r="F26" s="17"/>
    </row>
    <row r="27" spans="2:6" x14ac:dyDescent="0.15">
      <c r="B27" s="20"/>
      <c r="C27" s="20"/>
      <c r="D27" s="19"/>
      <c r="E27" s="18"/>
      <c r="F27" s="17"/>
    </row>
    <row r="28" spans="2:6" x14ac:dyDescent="0.15">
      <c r="B28" s="20"/>
      <c r="C28" s="21" t="s">
        <v>26</v>
      </c>
      <c r="D28" s="19"/>
      <c r="E28" s="18"/>
      <c r="F28" s="17"/>
    </row>
    <row r="29" spans="2:6" x14ac:dyDescent="0.15">
      <c r="B29" s="20"/>
      <c r="C29" s="20" t="s">
        <v>25</v>
      </c>
      <c r="D29" s="19">
        <v>1</v>
      </c>
      <c r="E29" s="18"/>
      <c r="F29" s="17"/>
    </row>
    <row r="30" spans="2:6" x14ac:dyDescent="0.15">
      <c r="B30" s="20"/>
      <c r="C30" s="20" t="s">
        <v>24</v>
      </c>
      <c r="D30" s="19">
        <v>1</v>
      </c>
      <c r="E30" s="18"/>
      <c r="F30" s="17"/>
    </row>
    <row r="31" spans="2:6" x14ac:dyDescent="0.15">
      <c r="B31" s="20"/>
      <c r="C31" s="20" t="s">
        <v>23</v>
      </c>
      <c r="D31" s="19">
        <v>1</v>
      </c>
      <c r="E31" s="18"/>
      <c r="F31" s="17"/>
    </row>
    <row r="32" spans="2:6" x14ac:dyDescent="0.15">
      <c r="B32" s="20"/>
      <c r="C32" s="20"/>
      <c r="D32" s="19"/>
      <c r="E32" s="18"/>
      <c r="F32" s="17"/>
    </row>
    <row r="33" spans="2:6" x14ac:dyDescent="0.15">
      <c r="B33" s="20"/>
      <c r="C33" s="20"/>
      <c r="D33" s="19"/>
      <c r="E33" s="18"/>
      <c r="F33" s="17"/>
    </row>
    <row r="34" spans="2:6" x14ac:dyDescent="0.15">
      <c r="B34" s="20"/>
      <c r="C34" s="21" t="s">
        <v>22</v>
      </c>
      <c r="D34" s="19"/>
      <c r="E34" s="18"/>
      <c r="F34" s="17"/>
    </row>
    <row r="35" spans="2:6" x14ac:dyDescent="0.15">
      <c r="B35" s="20"/>
      <c r="C35" s="20" t="s">
        <v>21</v>
      </c>
      <c r="D35" s="19">
        <v>1</v>
      </c>
      <c r="E35" s="18"/>
      <c r="F35" s="17"/>
    </row>
    <row r="36" spans="2:6" x14ac:dyDescent="0.15">
      <c r="B36" s="20"/>
      <c r="C36" s="20" t="s">
        <v>20</v>
      </c>
      <c r="D36" s="19">
        <v>1</v>
      </c>
      <c r="E36" s="18"/>
      <c r="F36" s="17"/>
    </row>
    <row r="37" spans="2:6" x14ac:dyDescent="0.15">
      <c r="B37" s="20"/>
      <c r="C37" s="20" t="s">
        <v>19</v>
      </c>
      <c r="D37" s="19"/>
      <c r="E37" s="18"/>
      <c r="F37" s="17"/>
    </row>
    <row r="38" spans="2:6" x14ac:dyDescent="0.15">
      <c r="B38" s="20"/>
      <c r="C38" s="20"/>
      <c r="D38" s="19"/>
      <c r="E38" s="18"/>
      <c r="F38" s="17"/>
    </row>
    <row r="39" spans="2:6" x14ac:dyDescent="0.15">
      <c r="B39" s="20"/>
      <c r="C39" s="20"/>
      <c r="D39" s="19"/>
      <c r="E39" s="18"/>
      <c r="F39" s="17"/>
    </row>
    <row r="40" spans="2:6" x14ac:dyDescent="0.15">
      <c r="B40" s="20"/>
      <c r="C40" s="21" t="s">
        <v>18</v>
      </c>
      <c r="D40" s="19"/>
      <c r="E40" s="18"/>
      <c r="F40" s="17"/>
    </row>
    <row r="41" spans="2:6" x14ac:dyDescent="0.15">
      <c r="B41" s="20"/>
      <c r="C41" s="20" t="s">
        <v>17</v>
      </c>
      <c r="D41" s="19">
        <v>4</v>
      </c>
      <c r="E41" s="18"/>
      <c r="F41" s="17"/>
    </row>
    <row r="42" spans="2:6" x14ac:dyDescent="0.15">
      <c r="B42" s="20"/>
      <c r="C42" s="20" t="s">
        <v>16</v>
      </c>
      <c r="D42" s="19"/>
      <c r="E42" s="18"/>
      <c r="F42" s="17"/>
    </row>
    <row r="43" spans="2:6" x14ac:dyDescent="0.15">
      <c r="B43" s="20"/>
      <c r="C43" s="20" t="s">
        <v>15</v>
      </c>
      <c r="D43" s="19"/>
      <c r="E43" s="18"/>
      <c r="F43" s="17"/>
    </row>
    <row r="44" spans="2:6" x14ac:dyDescent="0.15">
      <c r="B44" s="20"/>
      <c r="C44" s="20"/>
      <c r="D44" s="19"/>
      <c r="E44" s="18"/>
      <c r="F44" s="17"/>
    </row>
    <row r="45" spans="2:6" x14ac:dyDescent="0.15">
      <c r="B45" s="20"/>
      <c r="C45" s="20" t="s">
        <v>14</v>
      </c>
      <c r="D45" s="19">
        <v>4</v>
      </c>
      <c r="E45" s="18"/>
      <c r="F45" s="17"/>
    </row>
    <row r="46" spans="2:6" x14ac:dyDescent="0.15">
      <c r="B46" s="20"/>
      <c r="C46" s="20" t="s">
        <v>13</v>
      </c>
      <c r="D46" s="19"/>
      <c r="E46" s="18"/>
      <c r="F46" s="17"/>
    </row>
    <row r="47" spans="2:6" x14ac:dyDescent="0.15">
      <c r="B47" s="20"/>
      <c r="C47" s="20" t="s">
        <v>12</v>
      </c>
      <c r="D47" s="19"/>
      <c r="E47" s="18"/>
      <c r="F47" s="17"/>
    </row>
    <row r="48" spans="2:6" x14ac:dyDescent="0.15">
      <c r="B48" s="20"/>
      <c r="C48" s="20"/>
      <c r="D48" s="19"/>
      <c r="E48" s="18"/>
      <c r="F48" s="17"/>
    </row>
    <row r="49" spans="2:6" x14ac:dyDescent="0.15">
      <c r="B49" s="20"/>
      <c r="C49" s="20" t="s">
        <v>11</v>
      </c>
      <c r="D49" s="19">
        <v>4</v>
      </c>
      <c r="E49" s="18"/>
      <c r="F49" s="17"/>
    </row>
    <row r="50" spans="2:6" x14ac:dyDescent="0.15">
      <c r="B50" s="20"/>
      <c r="C50" s="20" t="s">
        <v>10</v>
      </c>
      <c r="D50" s="19"/>
      <c r="E50" s="18"/>
      <c r="F50" s="17"/>
    </row>
    <row r="51" spans="2:6" x14ac:dyDescent="0.15">
      <c r="B51" s="20"/>
      <c r="C51" s="20" t="s">
        <v>9</v>
      </c>
      <c r="D51" s="19"/>
      <c r="E51" s="18"/>
      <c r="F51" s="17"/>
    </row>
    <row r="52" spans="2:6" x14ac:dyDescent="0.15">
      <c r="B52" s="20"/>
      <c r="C52" s="20" t="s">
        <v>8</v>
      </c>
      <c r="D52" s="19"/>
      <c r="E52" s="18"/>
      <c r="F52" s="17"/>
    </row>
    <row r="53" spans="2:6" x14ac:dyDescent="0.15">
      <c r="B53" s="20"/>
      <c r="C53" s="20"/>
      <c r="D53" s="19"/>
      <c r="E53" s="18"/>
      <c r="F53" s="17"/>
    </row>
    <row r="54" spans="2:6" x14ac:dyDescent="0.15">
      <c r="B54" s="20"/>
      <c r="C54" s="20" t="s">
        <v>7</v>
      </c>
      <c r="D54" s="19">
        <v>4</v>
      </c>
      <c r="E54" s="18"/>
      <c r="F54" s="17"/>
    </row>
    <row r="55" spans="2:6" x14ac:dyDescent="0.15">
      <c r="B55" s="20"/>
      <c r="C55" s="20" t="s">
        <v>6</v>
      </c>
      <c r="D55" s="19"/>
      <c r="E55" s="18"/>
      <c r="F55" s="17"/>
    </row>
    <row r="56" spans="2:6" x14ac:dyDescent="0.15">
      <c r="B56" s="20"/>
      <c r="C56" s="20" t="s">
        <v>5</v>
      </c>
      <c r="D56" s="19"/>
      <c r="E56" s="18"/>
      <c r="F56" s="17"/>
    </row>
    <row r="57" spans="2:6" x14ac:dyDescent="0.15">
      <c r="B57" s="20"/>
      <c r="C57" s="20" t="s">
        <v>4</v>
      </c>
      <c r="D57" s="19"/>
      <c r="E57" s="18"/>
      <c r="F57" s="17"/>
    </row>
    <row r="58" spans="2:6" x14ac:dyDescent="0.15">
      <c r="C58" s="16"/>
      <c r="D58" s="15"/>
      <c r="E58" s="14"/>
      <c r="F58" s="13"/>
    </row>
    <row r="59" spans="2:6" ht="15" thickBot="1" x14ac:dyDescent="0.2">
      <c r="B59" s="11"/>
      <c r="C59" s="11"/>
      <c r="D59" s="12"/>
      <c r="E59" s="12"/>
      <c r="F59" s="11"/>
    </row>
    <row r="60" spans="2:6" ht="17" thickBot="1" x14ac:dyDescent="0.25">
      <c r="C60" s="10" t="s">
        <v>3</v>
      </c>
      <c r="D60" s="9">
        <f>SUM(D8:D55)</f>
        <v>35</v>
      </c>
      <c r="E60" s="8">
        <f>SUM(E8:E55)</f>
        <v>0</v>
      </c>
    </row>
    <row r="61" spans="2:6" ht="16" x14ac:dyDescent="0.2">
      <c r="C61" s="7" t="s">
        <v>2</v>
      </c>
      <c r="E61" s="6"/>
      <c r="F61" s="5" t="s">
        <v>1</v>
      </c>
    </row>
    <row r="62" spans="2:6" ht="16" x14ac:dyDescent="0.2">
      <c r="C62" s="4" t="s">
        <v>0</v>
      </c>
      <c r="D62" s="3"/>
      <c r="E62" s="2">
        <f>D60-(E60+E61)</f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Harouna Thiam</dc:creator>
  <cp:lastModifiedBy>Harouna Thiam</cp:lastModifiedBy>
  <dcterms:created xsi:type="dcterms:W3CDTF">2025-12-19T20:31:40Z</dcterms:created>
  <dcterms:modified xsi:type="dcterms:W3CDTF">2025-12-19T20:32:03Z</dcterms:modified>
</cp:coreProperties>
</file>