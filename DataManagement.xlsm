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workbookPr codeName="ThisWorkbook"/>
  <mc:AlternateContent xmlns:mc="http://schemas.openxmlformats.org/markup-compatibility/2006">
    <mc:Choice Requires="x15">
      <x15ac:absPath xmlns:x15ac="http://schemas.microsoft.com/office/spreadsheetml/2010/11/ac" url="E:\My Drive\#Dukua\#616-617\TAs\1 BCA 616\2025 Fall 616\asgns\4 Data Management\"/>
    </mc:Choice>
  </mc:AlternateContent>
  <xr:revisionPtr revIDLastSave="0" documentId="13_ncr:1_{E0083A5D-680A-49D5-9411-DD7FBF278D7A}" xr6:coauthVersionLast="47" xr6:coauthVersionMax="47" xr10:uidLastSave="{00000000-0000-0000-0000-000000000000}"/>
  <bookViews>
    <workbookView xWindow="1845" yWindow="2070" windowWidth="25695" windowHeight="17415" tabRatio="799" firstSheet="6" activeTab="10" xr2:uid="{00000000-000D-0000-FFFF-FFFF00000000}"/>
  </bookViews>
  <sheets>
    <sheet name="Introduction " sheetId="20" r:id="rId1"/>
    <sheet name="Honor Code" sheetId="31" r:id="rId2"/>
    <sheet name="T 1 - VLOOKUP()" sheetId="1" r:id="rId3"/>
    <sheet name="Lookup Tables" sheetId="3" r:id="rId4"/>
    <sheet name="T 2 - Report Outlines" sheetId="8" r:id="rId5"/>
    <sheet name="T 3 - Text to Columns" sheetId="13" r:id="rId6"/>
    <sheet name="T 4 - Summarize &amp; Subtotal" sheetId="30" r:id="rId7"/>
    <sheet name="T 5 - FREQUENCY()" sheetId="18" r:id="rId8"/>
    <sheet name="T 6 - Data Validation" sheetId="28" r:id="rId9"/>
    <sheet name="T 7 - Pivot Tables" sheetId="24" r:id="rId10"/>
    <sheet name="Scoring Guide" sheetId="35" r:id="rId11"/>
  </sheets>
  <externalReferences>
    <externalReference r:id="rId12"/>
  </externalReferences>
  <definedNames>
    <definedName name="_xlnm._FilterDatabase" localSheetId="2" hidden="1">'T 1 - VLOOKUP()'!$B$9:$J$111</definedName>
    <definedName name="_xlnm._FilterDatabase" localSheetId="9" hidden="1">'T 7 - Pivot Tables'!$B$6:$F$222</definedName>
    <definedName name="anscount" hidden="1">2</definedName>
    <definedName name="BinValues">'[1]Task 5-Analyze Stock Returns '!$H$11:$H$16</definedName>
    <definedName name="Clients">'Lookup Tables'!$C$19:$D$28</definedName>
    <definedName name="CriteriaList" localSheetId="8">'T 6 - Data Validation'!$J$7:$J$16</definedName>
    <definedName name="CriteriaList">'[1]Task 7-Data Validation Complete'!$J$7:$J$16</definedName>
    <definedName name="_xlnm.Database">'T 7 - Pivot Tables'!$B$6:$F$222</definedName>
    <definedName name="Employees">'Lookup Tables'!$C$33:$E$72</definedName>
    <definedName name="limcount" hidden="1">2</definedName>
    <definedName name="nDataAnalysis" hidden="1">0</definedName>
    <definedName name="nRegMod" hidden="1">0</definedName>
    <definedName name="PMReturns" localSheetId="7">'T 5 - FREQUENCY()'!$D$12:$D$93</definedName>
    <definedName name="sencount" hidden="1">4</definedName>
    <definedName name="solver_ver">1.2</definedName>
    <definedName name="SPreturns">'T 5 - FREQUENCY()'!$D$12:$D$108</definedName>
    <definedName name="Work_Codes">'Lookup Tables'!$C$12:$E$14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0" i="35" l="1"/>
  <c r="D60" i="35"/>
  <c r="E62" i="35" s="1"/>
  <c r="B8" i="18"/>
  <c r="B5" i="18"/>
  <c r="E89" i="30" l="1"/>
  <c r="E88" i="30"/>
  <c r="E87" i="30"/>
  <c r="E86" i="30"/>
  <c r="E85" i="30"/>
  <c r="E84" i="30"/>
  <c r="E83" i="30"/>
  <c r="E82" i="30"/>
  <c r="E81" i="30"/>
  <c r="E80" i="30"/>
  <c r="E79" i="30"/>
  <c r="E78" i="30"/>
  <c r="E77" i="30"/>
  <c r="E76" i="30"/>
  <c r="E75" i="30"/>
  <c r="E74" i="30"/>
  <c r="E73" i="30"/>
  <c r="E72" i="30"/>
  <c r="E71" i="30"/>
  <c r="E70" i="30"/>
  <c r="E69" i="30"/>
  <c r="E68" i="30"/>
  <c r="E67" i="30"/>
  <c r="E66" i="30"/>
  <c r="E65" i="30"/>
  <c r="E64" i="30"/>
  <c r="E63"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E36" i="30"/>
  <c r="E35" i="30"/>
  <c r="E34" i="30"/>
  <c r="E33" i="30"/>
  <c r="E32" i="30"/>
  <c r="E31" i="30"/>
  <c r="E30" i="30"/>
  <c r="E29" i="30"/>
  <c r="E28" i="30"/>
  <c r="E27" i="30"/>
  <c r="E26" i="30"/>
  <c r="E25" i="30"/>
  <c r="E24" i="30"/>
  <c r="E23" i="30"/>
  <c r="E22" i="30"/>
  <c r="E21" i="30"/>
  <c r="E20" i="30"/>
  <c r="E19" i="30"/>
  <c r="E18" i="30"/>
  <c r="E17" i="30"/>
  <c r="E16" i="30"/>
  <c r="E15" i="30"/>
  <c r="E14" i="30"/>
  <c r="E13" i="30"/>
  <c r="E12" i="30"/>
  <c r="E11" i="30"/>
  <c r="E10" i="30"/>
  <c r="E9" i="30"/>
  <c r="E8" i="30"/>
  <c r="E7" i="13" l="1"/>
  <c r="B7" i="8"/>
</calcChain>
</file>

<file path=xl/sharedStrings.xml><?xml version="1.0" encoding="utf-8"?>
<sst xmlns="http://schemas.openxmlformats.org/spreadsheetml/2006/main" count="1317" uniqueCount="217">
  <si>
    <t>Date</t>
  </si>
  <si>
    <t>From</t>
  </si>
  <si>
    <t>To</t>
  </si>
  <si>
    <t>Total Pay</t>
  </si>
  <si>
    <t>Total Hours</t>
  </si>
  <si>
    <t>Employee Code</t>
  </si>
  <si>
    <t>Name</t>
  </si>
  <si>
    <t>Specialty</t>
  </si>
  <si>
    <t>Charles Morton</t>
  </si>
  <si>
    <t>Allison Ives</t>
  </si>
  <si>
    <t>Jackson Lin</t>
  </si>
  <si>
    <t>Rodrigo Alvarez</t>
  </si>
  <si>
    <t>Arthur Reilly</t>
  </si>
  <si>
    <t>Jordan Hill</t>
  </si>
  <si>
    <t>Susanne Foster</t>
  </si>
  <si>
    <t>Scott Dilworth</t>
  </si>
  <si>
    <t>Kate Emerson</t>
  </si>
  <si>
    <t>Lori Anderson</t>
  </si>
  <si>
    <t>Eric Stokes</t>
  </si>
  <si>
    <t>Sarah Heller</t>
  </si>
  <si>
    <t>Carol Johnson</t>
  </si>
  <si>
    <t>Kevin McCallum</t>
  </si>
  <si>
    <t>James Hartigan</t>
  </si>
  <si>
    <t>Thomas Hoffman</t>
  </si>
  <si>
    <t>Bryan Fowler</t>
  </si>
  <si>
    <t>Elizabeth Roy</t>
  </si>
  <si>
    <t>Nadine Smith</t>
  </si>
  <si>
    <t>John Pane</t>
  </si>
  <si>
    <t>John O'Donnell</t>
  </si>
  <si>
    <t>Far Wen</t>
  </si>
  <si>
    <t>Carolyn Roxby</t>
  </si>
  <si>
    <t>Angela Garcia</t>
  </si>
  <si>
    <t>Tiffany Rifkin</t>
  </si>
  <si>
    <t>Sam Carver</t>
  </si>
  <si>
    <t>Everett Ko</t>
  </si>
  <si>
    <t>Norman Hardison</t>
  </si>
  <si>
    <t>Pamela Buncombe</t>
  </si>
  <si>
    <t>Ardis Foxworth</t>
  </si>
  <si>
    <t>Bob Brickey</t>
  </si>
  <si>
    <t>Casper Johnson</t>
  </si>
  <si>
    <t>Steven Galloway</t>
  </si>
  <si>
    <t>Peter Walton</t>
  </si>
  <si>
    <t>Linda Huff</t>
  </si>
  <si>
    <t>Gary Seamans</t>
  </si>
  <si>
    <t>Jose Naron</t>
  </si>
  <si>
    <t>Anne Neville</t>
  </si>
  <si>
    <t>Terri Rorick</t>
  </si>
  <si>
    <t>Renee Kringle</t>
  </si>
  <si>
    <t>Specialty Code</t>
  </si>
  <si>
    <t>Hourly Rate</t>
  </si>
  <si>
    <t>Client Code</t>
  </si>
  <si>
    <t>Client Name</t>
  </si>
  <si>
    <t>Specialty Name</t>
  </si>
  <si>
    <t>W3</t>
  </si>
  <si>
    <t>W4</t>
  </si>
  <si>
    <t>W8</t>
  </si>
  <si>
    <t>City of Morton, NC</t>
  </si>
  <si>
    <t>Wardell, Mingus, and Krenshaw</t>
  </si>
  <si>
    <t>School of the Environment</t>
  </si>
  <si>
    <t>Marshall Furniture</t>
  </si>
  <si>
    <t>Tandy's, Inc.</t>
  </si>
  <si>
    <t>Renfrow Printers &amp; Publishers</t>
  </si>
  <si>
    <t>Mallard &amp; Hernandez, Inc.</t>
  </si>
  <si>
    <t>Sanford Booksellers, Ltd.</t>
  </si>
  <si>
    <t>Rodriguez Catering</t>
  </si>
  <si>
    <t>Mack's Moving &amp; Storage</t>
  </si>
  <si>
    <t>Employee Name</t>
  </si>
  <si>
    <t>C30</t>
  </si>
  <si>
    <t>C40</t>
  </si>
  <si>
    <t>C50</t>
  </si>
  <si>
    <t>C60</t>
  </si>
  <si>
    <t>C70</t>
  </si>
  <si>
    <t>C80</t>
  </si>
  <si>
    <t>C90</t>
  </si>
  <si>
    <t>C10</t>
  </si>
  <si>
    <t>C20</t>
  </si>
  <si>
    <t>C15</t>
  </si>
  <si>
    <t>First Name</t>
  </si>
  <si>
    <t>Last Name</t>
  </si>
  <si>
    <t xml:space="preserve">Worksheets: </t>
  </si>
  <si>
    <t>Table name: Clients</t>
  </si>
  <si>
    <t>Table name: Employees</t>
  </si>
  <si>
    <t>Client Region</t>
  </si>
  <si>
    <t>Total Sales</t>
  </si>
  <si>
    <t>West</t>
  </si>
  <si>
    <t>East</t>
  </si>
  <si>
    <t>Returns</t>
  </si>
  <si>
    <t>Season</t>
  </si>
  <si>
    <t>Year</t>
  </si>
  <si>
    <t>Type</t>
  </si>
  <si>
    <t>State</t>
  </si>
  <si>
    <t>Sales $</t>
  </si>
  <si>
    <t>Fall</t>
  </si>
  <si>
    <t>California</t>
  </si>
  <si>
    <t>Spring</t>
  </si>
  <si>
    <t>Summer</t>
  </si>
  <si>
    <t>Winter</t>
  </si>
  <si>
    <t>Billable Hours</t>
  </si>
  <si>
    <t>Oglethorpe Riding Mowers</t>
  </si>
  <si>
    <t>South</t>
  </si>
  <si>
    <t>Robinett's Strip Malls</t>
  </si>
  <si>
    <t xml:space="preserve">Mulberry Electronics </t>
  </si>
  <si>
    <t>North</t>
  </si>
  <si>
    <t>Lester Redevelopment Inc.</t>
  </si>
  <si>
    <t xml:space="preserve">All Things Surf </t>
  </si>
  <si>
    <t>Second Best Buys</t>
  </si>
  <si>
    <t>Trend Advisors</t>
  </si>
  <si>
    <t>Silicon Ventures</t>
  </si>
  <si>
    <t>Task 5: Analyze Stock Returns</t>
  </si>
  <si>
    <t>Database</t>
  </si>
  <si>
    <t xml:space="preserve">       Contract Work Records</t>
  </si>
  <si>
    <t xml:space="preserve">     Master data ranges</t>
  </si>
  <si>
    <t>Scoring Guide - For your information only. Details on how your work is scored.</t>
  </si>
  <si>
    <t>Task/Technique</t>
  </si>
  <si>
    <t>Possible Points</t>
  </si>
  <si>
    <t>Points Deducted</t>
  </si>
  <si>
    <t>Grader Notes</t>
  </si>
  <si>
    <t xml:space="preserve">    - Total Hours formulas and results correct.</t>
  </si>
  <si>
    <t xml:space="preserve">    - Hourly Rate formulas (lookup) and results correct.</t>
  </si>
  <si>
    <t xml:space="preserve">    - Total Pay formulas and results correct.</t>
  </si>
  <si>
    <t>Note: Original record order changed by subsequent</t>
  </si>
  <si>
    <t>tasks. This is to be expected.</t>
  </si>
  <si>
    <t xml:space="preserve">    - All six report columns contain appropriate data.</t>
  </si>
  <si>
    <t xml:space="preserve">    - Total pay is summed for each employee.</t>
  </si>
  <si>
    <t xml:space="preserve">    - First names in first-name column of the report.</t>
  </si>
  <si>
    <t xml:space="preserve">    - Last names in last-name column of the report.</t>
  </si>
  <si>
    <t>When displayed in outline level 3 (or 4)</t>
  </si>
  <si>
    <t xml:space="preserve">    - Hours are totaled by client name.</t>
  </si>
  <si>
    <t xml:space="preserve">    - # of monthly returns values are an array.</t>
  </si>
  <si>
    <t xml:space="preserve">    - # of monthly returns are correct.</t>
  </si>
  <si>
    <t xml:space="preserve">    - View 1: Row = State , Column = Year , Data =  </t>
  </si>
  <si>
    <t xml:space="preserve">      Sum of Sales $.</t>
  </si>
  <si>
    <t xml:space="preserve">    - View 2: Row = Type, Column = state, Page = Year and</t>
  </si>
  <si>
    <t xml:space="preserve">      Season, Data = Average of Sales $.</t>
  </si>
  <si>
    <t xml:space="preserve">      Grand Totals for both Rows and Columns.</t>
  </si>
  <si>
    <t xml:space="preserve">    - View 3: Row = Year as outer and Season as inner,</t>
  </si>
  <si>
    <t xml:space="preserve">    - View 4: No Row field, Column = Type, Data = Sum of</t>
  </si>
  <si>
    <r>
      <rPr>
        <b/>
        <sz val="12"/>
        <color rgb="FF002060"/>
        <rFont val="Arial"/>
        <family val="2"/>
      </rPr>
      <t>Possible</t>
    </r>
    <r>
      <rPr>
        <b/>
        <sz val="12"/>
        <rFont val="Arial"/>
        <family val="2"/>
      </rPr>
      <t>/</t>
    </r>
    <r>
      <rPr>
        <b/>
        <sz val="12"/>
        <color rgb="FFFF0000"/>
        <rFont val="Arial"/>
        <family val="2"/>
      </rPr>
      <t>Deducted</t>
    </r>
    <r>
      <rPr>
        <b/>
        <sz val="12"/>
        <rFont val="Arial"/>
        <family val="2"/>
      </rPr>
      <t xml:space="preserve"> Points:</t>
    </r>
  </si>
  <si>
    <t>Scoring guide - for your information only. Details on how your work is scored.</t>
  </si>
  <si>
    <t>Quarter 1</t>
  </si>
  <si>
    <t>Quarter 2</t>
  </si>
  <si>
    <t>Quarter 3</t>
  </si>
  <si>
    <t>Quarter 4</t>
  </si>
  <si>
    <t>March</t>
  </si>
  <si>
    <t>April</t>
  </si>
  <si>
    <t>May</t>
  </si>
  <si>
    <t>June</t>
  </si>
  <si>
    <t>July</t>
  </si>
  <si>
    <t>August</t>
  </si>
  <si>
    <t>September</t>
  </si>
  <si>
    <t>October</t>
  </si>
  <si>
    <t>November</t>
  </si>
  <si>
    <t>December</t>
  </si>
  <si>
    <t>January</t>
  </si>
  <si>
    <t>February</t>
  </si>
  <si>
    <t>Corporate Sales</t>
  </si>
  <si>
    <t>Residential Sales</t>
  </si>
  <si>
    <t>Walk-in Sales</t>
  </si>
  <si>
    <t xml:space="preserve">    - "Select a criterion" drop-down shows number options.</t>
  </si>
  <si>
    <t xml:space="preserve">    - Drop-down controls display of green shading</t>
  </si>
  <si>
    <t xml:space="preserve">      in cells in the data range.</t>
  </si>
  <si>
    <t>Select a criterion:</t>
  </si>
  <si>
    <t>Work Area</t>
  </si>
  <si>
    <t>Mogul Cell Phones</t>
  </si>
  <si>
    <t>Table name: Work_Codes</t>
  </si>
  <si>
    <t>Late points (if any)</t>
  </si>
  <si>
    <t>Points Earned:</t>
  </si>
  <si>
    <t xml:space="preserve">Fuqua Honor Code </t>
  </si>
  <si>
    <t>DEC616*</t>
  </si>
  <si>
    <t xml:space="preserve">  I confirm that the work in this file submission</t>
  </si>
  <si>
    <t xml:space="preserve">  is entirely my own.</t>
  </si>
  <si>
    <r>
      <t xml:space="preserve">  To indicate your agreement, type the word </t>
    </r>
    <r>
      <rPr>
        <b/>
        <i/>
        <sz val="12"/>
        <rFont val="Book Antiqua"/>
        <family val="1"/>
      </rPr>
      <t>yes</t>
    </r>
    <r>
      <rPr>
        <i/>
        <sz val="12"/>
        <rFont val="Book Antiqua"/>
        <family val="1"/>
      </rPr>
      <t xml:space="preserve"> in </t>
    </r>
  </si>
  <si>
    <t xml:space="preserve">  the green box above.</t>
  </si>
  <si>
    <t xml:space="preserve">  </t>
  </si>
  <si>
    <r>
      <t>Honor Code (</t>
    </r>
    <r>
      <rPr>
        <i/>
        <sz val="11"/>
        <color rgb="FFC00000"/>
        <rFont val="Arial"/>
        <family val="2"/>
      </rPr>
      <t>complete this sheet</t>
    </r>
    <r>
      <rPr>
        <sz val="11"/>
        <rFont val="Arial"/>
        <family val="2"/>
      </rPr>
      <t>)</t>
    </r>
  </si>
  <si>
    <t xml:space="preserve">      Grand Totals as last row of the Pivot Table.</t>
  </si>
  <si>
    <t xml:space="preserve">      Sales $, Page field = Season, set to Winter.</t>
  </si>
  <si>
    <t xml:space="preserve">           </t>
  </si>
  <si>
    <r>
      <t xml:space="preserve">      Data = Sum </t>
    </r>
    <r>
      <rPr>
        <i/>
        <sz val="10"/>
        <rFont val="Arial"/>
        <family val="2"/>
      </rPr>
      <t>and</t>
    </r>
    <r>
      <rPr>
        <sz val="10"/>
        <rFont val="Arial"/>
        <family val="2"/>
      </rPr>
      <t xml:space="preserve"> Average of Sales $.</t>
    </r>
  </si>
  <si>
    <t>T 1 - VLOOKUP</t>
  </si>
  <si>
    <t>T 2 - Report Outlines</t>
  </si>
  <si>
    <t>T 3 - Text to Columns</t>
  </si>
  <si>
    <t>T 4 - Summarize &amp; Subtotal</t>
  </si>
  <si>
    <t>T 5 - FREQUENCY()</t>
  </si>
  <si>
    <t>T 6 - Data Validation</t>
  </si>
  <si>
    <t xml:space="preserve">    Find out in increments of 20 how many periods the stock gave returns between</t>
  </si>
  <si>
    <t xml:space="preserve">    using FREQUENCY array function.</t>
  </si>
  <si>
    <t>Task 1 - VLOOKUP() : Complete the Work Records</t>
  </si>
  <si>
    <t>Task 2 - Report Outlines : Complete the Total Pay Report</t>
  </si>
  <si>
    <t>Lookup Tables (for Tasks 1 and 2)</t>
  </si>
  <si>
    <t>Task 3 - Text to Columns : Complete the Employee Name Report</t>
  </si>
  <si>
    <t>Task 4 - Summarize &amp; Subtotal : Summarize Sales</t>
  </si>
  <si>
    <t>Task 6 - Data Validation : A Data Validation Application</t>
  </si>
  <si>
    <t xml:space="preserve">Task 7: Pivot Table </t>
  </si>
  <si>
    <r>
      <t xml:space="preserve">Lookup Tables </t>
    </r>
    <r>
      <rPr>
        <i/>
        <sz val="11"/>
        <rFont val="Arial"/>
        <family val="2"/>
      </rPr>
      <t>(for Tasks 1 and 2)</t>
    </r>
  </si>
  <si>
    <t>T 7 - Pivot Tables</t>
  </si>
  <si>
    <t>Software Tools for Analytics</t>
  </si>
  <si>
    <t>T 7 - Create Four Pivot Table Views</t>
  </si>
  <si>
    <t xml:space="preserve">  June 2025</t>
  </si>
  <si>
    <t>Data Management</t>
  </si>
  <si>
    <t>Bin Values</t>
  </si>
  <si>
    <t># Monthly Returns</t>
  </si>
  <si>
    <t>Cola</t>
  </si>
  <si>
    <t>Diet</t>
  </si>
  <si>
    <t>Zero</t>
  </si>
  <si>
    <t>Orange</t>
  </si>
  <si>
    <t>Iced Tea</t>
  </si>
  <si>
    <t>Florida</t>
  </si>
  <si>
    <t>Texas</t>
  </si>
  <si>
    <t>Lemon Lime</t>
  </si>
  <si>
    <t>Managing Data with Excel Scoring Guide</t>
  </si>
  <si>
    <t xml:space="preserve">    - Sales are totaled by client region (E, N, S, W).</t>
  </si>
  <si>
    <t xml:space="preserve"> 2 points per late day deducted.</t>
  </si>
  <si>
    <t xml:space="preserve">      Column = State w/only California and Texas data shown.</t>
  </si>
  <si>
    <t xml:space="preserve">      Only 2023 data, no Year Subtotals, No Grand Totals.</t>
  </si>
  <si>
    <t xml:space="preserve">      Iced Tea, Lemon Lime, and Orange shown for Winter.</t>
  </si>
  <si>
    <t xml:space="preserve">    - Bin values described in the Task.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</si>
</sst>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
    <numFmt numFmtId="166" formatCode="&quot;$&quot;#,##0.00"/>
    <numFmt numFmtId="167" formatCode="mmmm\ d\,\ yyyy"/>
    <numFmt numFmtId="168" formatCode="[$-409]h:mm\ AM/PM;@"/>
    <numFmt numFmtId="169" formatCode="mm/dd/yy;@"/>
  </numFmts>
  <fonts count="48" x14ac:knownFonts="1">
    <font>
      <sz val="11"/>
      <name val="Arial"/>
    </font>
    <font>
      <sz val="11"/>
      <name val="Arial"/>
      <family val="2"/>
    </font>
    <font>
      <b/>
      <sz val="20"/>
      <color indexed="10"/>
      <name val="Trebuchet MS"/>
      <family val="2"/>
    </font>
    <font>
      <sz val="11"/>
      <name val="Trebuchet MS"/>
      <family val="2"/>
    </font>
    <font>
      <b/>
      <sz val="11"/>
      <name val="Trebuchet MS"/>
      <family val="2"/>
    </font>
    <font>
      <b/>
      <sz val="12"/>
      <color indexed="8"/>
      <name val="Trebuchet MS"/>
      <family val="2"/>
    </font>
    <font>
      <sz val="16"/>
      <color indexed="10"/>
      <name val="Trebuchet MS"/>
      <family val="2"/>
    </font>
    <font>
      <sz val="10"/>
      <name val="Trebuchet MS"/>
      <family val="2"/>
    </font>
    <font>
      <sz val="10"/>
      <name val="Arial"/>
      <family val="2"/>
    </font>
    <font>
      <sz val="8"/>
      <name val="Arial"/>
      <family val="2"/>
    </font>
    <font>
      <b/>
      <sz val="10"/>
      <name val="Arial"/>
      <family val="2"/>
    </font>
    <font>
      <sz val="10"/>
      <name val="Arial"/>
      <family val="2"/>
    </font>
    <font>
      <b/>
      <sz val="20"/>
      <color indexed="18"/>
      <name val="Trebuchet MS"/>
      <family val="2"/>
    </font>
    <font>
      <sz val="11"/>
      <name val="Arial"/>
      <family val="2"/>
    </font>
    <font>
      <b/>
      <sz val="12"/>
      <color indexed="54"/>
      <name val="Arial"/>
      <family val="2"/>
    </font>
    <font>
      <b/>
      <sz val="16"/>
      <color indexed="54"/>
      <name val="Arial"/>
      <family val="2"/>
    </font>
    <font>
      <b/>
      <sz val="12"/>
      <color indexed="8"/>
      <name val="Arial"/>
      <family val="2"/>
    </font>
    <font>
      <b/>
      <sz val="11"/>
      <color indexed="18"/>
      <name val="Arial"/>
      <family val="2"/>
    </font>
    <font>
      <b/>
      <sz val="14"/>
      <color indexed="62"/>
      <name val="Arial"/>
      <family val="2"/>
    </font>
    <font>
      <sz val="12"/>
      <name val="Arial"/>
      <family val="2"/>
    </font>
    <font>
      <b/>
      <sz val="12"/>
      <color indexed="62"/>
      <name val="Arial"/>
      <family val="2"/>
    </font>
    <font>
      <i/>
      <sz val="11"/>
      <name val="Arial"/>
      <family val="2"/>
    </font>
    <font>
      <b/>
      <sz val="20"/>
      <color indexed="10"/>
      <name val="Arial"/>
      <family val="2"/>
    </font>
    <font>
      <b/>
      <sz val="11"/>
      <color theme="0"/>
      <name val="Arial"/>
      <family val="2"/>
    </font>
    <font>
      <i/>
      <sz val="12"/>
      <color indexed="8"/>
      <name val="Arial"/>
      <family val="2"/>
    </font>
    <font>
      <b/>
      <sz val="11"/>
      <color theme="0"/>
      <name val="Trebuchet MS"/>
      <family val="2"/>
    </font>
    <font>
      <i/>
      <sz val="12"/>
      <name val="Book Antiqua"/>
      <family val="1"/>
    </font>
    <font>
      <b/>
      <u/>
      <sz val="10"/>
      <color rgb="FF002060"/>
      <name val="Arial"/>
      <family val="2"/>
    </font>
    <font>
      <b/>
      <sz val="10"/>
      <color rgb="FFFF0000"/>
      <name val="Arial"/>
      <family val="2"/>
    </font>
    <font>
      <b/>
      <sz val="10"/>
      <color rgb="FF008000"/>
      <name val="Arial"/>
      <family val="2"/>
    </font>
    <font>
      <u/>
      <sz val="10"/>
      <name val="Arial"/>
      <family val="2"/>
    </font>
    <font>
      <b/>
      <sz val="12"/>
      <name val="Arial"/>
      <family val="2"/>
    </font>
    <font>
      <b/>
      <sz val="12"/>
      <color rgb="FF002060"/>
      <name val="Arial"/>
      <family val="2"/>
    </font>
    <font>
      <b/>
      <sz val="12"/>
      <color rgb="FFFF0000"/>
      <name val="Arial"/>
      <family val="2"/>
    </font>
    <font>
      <b/>
      <sz val="11"/>
      <name val="Arial"/>
      <family val="2"/>
    </font>
    <font>
      <b/>
      <sz val="18"/>
      <color indexed="62"/>
      <name val="Arial"/>
      <family val="2"/>
    </font>
    <font>
      <b/>
      <sz val="18"/>
      <color indexed="62"/>
      <name val="Trebuchet MS"/>
      <family val="2"/>
    </font>
    <font>
      <b/>
      <sz val="18"/>
      <color indexed="21"/>
      <name val="Trebuchet MS"/>
      <family val="2"/>
    </font>
    <font>
      <sz val="11"/>
      <color indexed="10"/>
      <name val="Arial"/>
      <family val="2"/>
    </font>
    <font>
      <i/>
      <sz val="10"/>
      <name val="Arial"/>
      <family val="2"/>
    </font>
    <font>
      <b/>
      <sz val="16"/>
      <color indexed="62"/>
      <name val="Arial"/>
      <family val="2"/>
    </font>
    <font>
      <sz val="14"/>
      <name val="Arial"/>
      <family val="2"/>
    </font>
    <font>
      <b/>
      <sz val="14"/>
      <name val="Arial"/>
      <family val="2"/>
    </font>
    <font>
      <b/>
      <i/>
      <sz val="12"/>
      <name val="Book Antiqua"/>
      <family val="1"/>
    </font>
    <font>
      <i/>
      <sz val="11"/>
      <color rgb="FFC00000"/>
      <name val="Arial"/>
      <family val="2"/>
    </font>
    <font>
      <sz val="11"/>
      <name val="Arial"/>
      <family val="2"/>
    </font>
    <font>
      <sz val="10"/>
      <color rgb="FF000000"/>
      <name val="Arial"/>
      <family val="2"/>
    </font>
    <font>
      <b/>
      <sz val="11"/>
      <color theme="1" tint="0.499984740745262"/>
      <name val="Arial"/>
      <family val="2"/>
    </font>
  </fonts>
  <fills count="9">
    <fill>
      <patternFill patternType="none"/>
    </fill>
    <fill>
      <patternFill patternType="gray125"/>
    </fill>
    <fill>
      <patternFill patternType="solid">
        <fgColor indexed="42"/>
        <bgColor indexed="64"/>
      </patternFill>
    </fill>
    <fill>
      <patternFill patternType="solid">
        <fgColor theme="1"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rgb="FF002060"/>
        <bgColor indexed="64"/>
      </patternFill>
    </fill>
    <fill>
      <patternFill patternType="solid">
        <fgColor rgb="FF000099"/>
        <bgColor indexed="64"/>
      </patternFill>
    </fill>
  </fills>
  <borders count="16">
    <border>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11">
    <xf numFmtId="0" fontId="0" fillId="0" borderId="0"/>
    <xf numFmtId="44" fontId="1" fillId="0" borderId="0" applyFont="0" applyFill="0" applyBorder="0" applyAlignment="0" applyProtection="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1" fillId="0" borderId="0"/>
    <xf numFmtId="43" fontId="45" fillId="0" borderId="0" applyFont="0" applyFill="0" applyBorder="0" applyAlignment="0" applyProtection="0"/>
  </cellStyleXfs>
  <cellXfs count="166">
    <xf numFmtId="0" fontId="0" fillId="0" borderId="0" xfId="0"/>
    <xf numFmtId="0" fontId="2" fillId="0" borderId="0" xfId="0" applyFont="1" applyAlignment="1">
      <alignment horizontal="center" vertical="center"/>
    </xf>
    <xf numFmtId="0" fontId="2" fillId="0" borderId="0" xfId="0" applyFont="1" applyAlignment="1">
      <alignment horizontal="left" vertical="center"/>
    </xf>
    <xf numFmtId="0" fontId="3" fillId="0" borderId="0" xfId="0" applyFont="1"/>
    <xf numFmtId="167" fontId="3" fillId="0" borderId="0" xfId="0" applyNumberFormat="1" applyFont="1" applyAlignment="1">
      <alignment horizontal="center"/>
    </xf>
    <xf numFmtId="167" fontId="3" fillId="0" borderId="0" xfId="0" applyNumberFormat="1" applyFont="1" applyAlignment="1">
      <alignment horizontal="left"/>
    </xf>
    <xf numFmtId="167" fontId="3" fillId="0" borderId="1" xfId="0" applyNumberFormat="1" applyFont="1" applyBorder="1"/>
    <xf numFmtId="0" fontId="3" fillId="0" borderId="2" xfId="0" applyFont="1" applyBorder="1"/>
    <xf numFmtId="0" fontId="3" fillId="0" borderId="0" xfId="0" applyFont="1" applyAlignment="1">
      <alignment horizontal="center"/>
    </xf>
    <xf numFmtId="1" fontId="3" fillId="0" borderId="0" xfId="0" applyNumberFormat="1" applyFont="1" applyAlignment="1">
      <alignment horizontal="center"/>
    </xf>
    <xf numFmtId="1" fontId="3" fillId="0" borderId="0" xfId="0" applyNumberFormat="1" applyFont="1" applyAlignment="1">
      <alignment horizontal="left"/>
    </xf>
    <xf numFmtId="16" fontId="3" fillId="0" borderId="0" xfId="0" applyNumberFormat="1" applyFont="1"/>
    <xf numFmtId="165" fontId="3" fillId="0" borderId="0" xfId="0" applyNumberFormat="1" applyFont="1"/>
    <xf numFmtId="0" fontId="5" fillId="0" borderId="0" xfId="0" applyFont="1"/>
    <xf numFmtId="0" fontId="3" fillId="0" borderId="3" xfId="0" applyFont="1" applyBorder="1" applyAlignment="1">
      <alignment horizontal="center"/>
    </xf>
    <xf numFmtId="0" fontId="3" fillId="0" borderId="1" xfId="0" applyFont="1" applyBorder="1" applyAlignment="1">
      <alignment horizontal="center"/>
    </xf>
    <xf numFmtId="0" fontId="6" fillId="0" borderId="0" xfId="0" applyFont="1"/>
    <xf numFmtId="0" fontId="4" fillId="0" borderId="0" xfId="0" applyFont="1"/>
    <xf numFmtId="0" fontId="8" fillId="0" borderId="0" xfId="4"/>
    <xf numFmtId="0" fontId="7" fillId="0" borderId="6" xfId="0" applyFont="1" applyBorder="1" applyAlignment="1">
      <alignment horizontal="center"/>
    </xf>
    <xf numFmtId="0" fontId="3" fillId="0" borderId="6" xfId="0" applyFont="1" applyBorder="1" applyAlignment="1">
      <alignment horizontal="center"/>
    </xf>
    <xf numFmtId="0" fontId="3" fillId="0" borderId="2" xfId="0" applyFont="1" applyBorder="1" applyAlignment="1">
      <alignment horizontal="center"/>
    </xf>
    <xf numFmtId="0" fontId="11" fillId="0" borderId="0" xfId="0" applyFont="1"/>
    <xf numFmtId="0" fontId="11" fillId="0" borderId="0" xfId="0" applyFont="1" applyAlignment="1">
      <alignment horizontal="center"/>
    </xf>
    <xf numFmtId="1" fontId="11" fillId="0" borderId="0" xfId="0" applyNumberFormat="1" applyFont="1" applyAlignment="1">
      <alignment horizontal="center"/>
    </xf>
    <xf numFmtId="167" fontId="11" fillId="0" borderId="0" xfId="0" applyNumberFormat="1" applyFont="1"/>
    <xf numFmtId="0" fontId="15" fillId="0" borderId="0" xfId="0" applyFont="1"/>
    <xf numFmtId="0" fontId="16" fillId="0" borderId="0" xfId="0" applyFont="1"/>
    <xf numFmtId="0" fontId="8" fillId="0" borderId="0" xfId="2"/>
    <xf numFmtId="6" fontId="8" fillId="0" borderId="0" xfId="2" applyNumberFormat="1"/>
    <xf numFmtId="168" fontId="11" fillId="0" borderId="0" xfId="0" applyNumberFormat="1" applyFont="1"/>
    <xf numFmtId="164" fontId="11" fillId="2" borderId="0" xfId="0" applyNumberFormat="1" applyFont="1" applyFill="1"/>
    <xf numFmtId="165" fontId="11" fillId="2" borderId="0" xfId="0" applyNumberFormat="1" applyFont="1" applyFill="1"/>
    <xf numFmtId="0" fontId="13" fillId="0" borderId="0" xfId="0" applyFont="1"/>
    <xf numFmtId="0" fontId="13" fillId="0" borderId="0" xfId="0" applyFont="1" applyAlignment="1">
      <alignment horizontal="center"/>
    </xf>
    <xf numFmtId="20" fontId="13" fillId="0" borderId="0" xfId="0" applyNumberFormat="1" applyFont="1"/>
    <xf numFmtId="0" fontId="17" fillId="0" borderId="0" xfId="3" applyFont="1"/>
    <xf numFmtId="0" fontId="18" fillId="0" borderId="0" xfId="0" applyFont="1"/>
    <xf numFmtId="0" fontId="19" fillId="0" borderId="0" xfId="0" applyFont="1"/>
    <xf numFmtId="0" fontId="20" fillId="0" borderId="0" xfId="0" applyFont="1"/>
    <xf numFmtId="0" fontId="21" fillId="0" borderId="0" xfId="0" applyFont="1"/>
    <xf numFmtId="0" fontId="13" fillId="0" borderId="9" xfId="0" applyFont="1" applyBorder="1" applyAlignment="1">
      <alignment horizontal="center"/>
    </xf>
    <xf numFmtId="0" fontId="13" fillId="0" borderId="10" xfId="0" applyFont="1" applyBorder="1"/>
    <xf numFmtId="6" fontId="13" fillId="0" borderId="11" xfId="0" applyNumberFormat="1" applyFont="1" applyBorder="1" applyAlignment="1">
      <alignment horizontal="center"/>
    </xf>
    <xf numFmtId="0" fontId="13" fillId="0" borderId="3" xfId="0" applyFont="1" applyBorder="1" applyAlignment="1">
      <alignment horizontal="center"/>
    </xf>
    <xf numFmtId="6" fontId="13" fillId="0" borderId="6" xfId="0" applyNumberFormat="1" applyFont="1" applyBorder="1" applyAlignment="1">
      <alignment horizontal="center"/>
    </xf>
    <xf numFmtId="0" fontId="13" fillId="0" borderId="1" xfId="0" applyFont="1" applyBorder="1" applyAlignment="1">
      <alignment horizontal="center"/>
    </xf>
    <xf numFmtId="0" fontId="13" fillId="0" borderId="7" xfId="0" applyFont="1" applyBorder="1"/>
    <xf numFmtId="6" fontId="13" fillId="0" borderId="2" xfId="0" applyNumberFormat="1" applyFont="1" applyBorder="1" applyAlignment="1">
      <alignment horizontal="center"/>
    </xf>
    <xf numFmtId="0" fontId="13" fillId="0" borderId="11" xfId="0" applyFont="1" applyBorder="1"/>
    <xf numFmtId="0" fontId="13" fillId="0" borderId="6" xfId="0" applyFont="1" applyBorder="1"/>
    <xf numFmtId="0" fontId="13" fillId="0" borderId="2" xfId="0" applyFont="1" applyBorder="1"/>
    <xf numFmtId="1" fontId="13" fillId="0" borderId="9" xfId="0" applyNumberFormat="1" applyFont="1" applyBorder="1" applyAlignment="1">
      <alignment horizontal="center"/>
    </xf>
    <xf numFmtId="1" fontId="13" fillId="0" borderId="3" xfId="0" applyNumberFormat="1" applyFont="1" applyBorder="1" applyAlignment="1">
      <alignment horizontal="center"/>
    </xf>
    <xf numFmtId="1" fontId="13" fillId="0" borderId="1" xfId="0" applyNumberFormat="1" applyFont="1" applyBorder="1" applyAlignment="1">
      <alignment horizontal="center"/>
    </xf>
    <xf numFmtId="166" fontId="11" fillId="2" borderId="0" xfId="0" applyNumberFormat="1" applyFont="1" applyFill="1"/>
    <xf numFmtId="167" fontId="13" fillId="0" borderId="1" xfId="0" applyNumberFormat="1" applyFont="1" applyBorder="1"/>
    <xf numFmtId="1" fontId="13" fillId="0" borderId="0" xfId="0" applyNumberFormat="1" applyFont="1" applyAlignment="1">
      <alignment horizontal="left"/>
    </xf>
    <xf numFmtId="1" fontId="13" fillId="0" borderId="0" xfId="0" applyNumberFormat="1" applyFont="1" applyAlignment="1">
      <alignment horizontal="center"/>
    </xf>
    <xf numFmtId="16" fontId="13" fillId="0" borderId="0" xfId="0" applyNumberFormat="1" applyFont="1"/>
    <xf numFmtId="165" fontId="13" fillId="0" borderId="0" xfId="0" applyNumberFormat="1" applyFont="1"/>
    <xf numFmtId="0" fontId="14" fillId="0" borderId="0" xfId="2" applyFont="1"/>
    <xf numFmtId="0" fontId="10" fillId="0" borderId="7" xfId="2" applyFont="1" applyBorder="1"/>
    <xf numFmtId="0" fontId="24" fillId="0" borderId="0" xfId="0" applyFont="1"/>
    <xf numFmtId="0" fontId="23" fillId="3" borderId="4" xfId="0" applyFont="1" applyFill="1" applyBorder="1" applyAlignment="1">
      <alignment horizontal="center"/>
    </xf>
    <xf numFmtId="0" fontId="23" fillId="3" borderId="8" xfId="0" applyFont="1" applyFill="1" applyBorder="1" applyAlignment="1">
      <alignment horizontal="center"/>
    </xf>
    <xf numFmtId="0" fontId="23" fillId="3" borderId="5" xfId="0" applyFont="1" applyFill="1" applyBorder="1" applyAlignment="1">
      <alignment horizontal="center"/>
    </xf>
    <xf numFmtId="0" fontId="1" fillId="0" borderId="0" xfId="0" applyFont="1"/>
    <xf numFmtId="0" fontId="26" fillId="0" borderId="0" xfId="0" applyFont="1"/>
    <xf numFmtId="0" fontId="8" fillId="0" borderId="0" xfId="5"/>
    <xf numFmtId="0" fontId="34" fillId="0" borderId="0" xfId="5" applyFont="1"/>
    <xf numFmtId="0" fontId="1" fillId="0" borderId="10" xfId="0" applyFont="1" applyBorder="1"/>
    <xf numFmtId="0" fontId="1" fillId="0" borderId="7" xfId="0" applyFont="1" applyBorder="1"/>
    <xf numFmtId="0" fontId="1" fillId="0" borderId="0" xfId="6"/>
    <xf numFmtId="0" fontId="34" fillId="0" borderId="0" xfId="6" applyFont="1"/>
    <xf numFmtId="0" fontId="34" fillId="0" borderId="13" xfId="6" applyFont="1" applyBorder="1" applyAlignment="1">
      <alignment horizontal="center"/>
    </xf>
    <xf numFmtId="0" fontId="1" fillId="0" borderId="0" xfId="6" applyAlignment="1">
      <alignment horizontal="center"/>
    </xf>
    <xf numFmtId="0" fontId="18" fillId="0" borderId="0" xfId="6" applyFont="1"/>
    <xf numFmtId="0" fontId="1" fillId="0" borderId="6" xfId="0" applyFont="1" applyBorder="1"/>
    <xf numFmtId="0" fontId="23" fillId="3" borderId="11" xfId="0" applyFont="1" applyFill="1" applyBorder="1" applyAlignment="1">
      <alignment horizontal="center"/>
    </xf>
    <xf numFmtId="0" fontId="1" fillId="0" borderId="2" xfId="0" applyFont="1" applyBorder="1"/>
    <xf numFmtId="0" fontId="3" fillId="0" borderId="0" xfId="6" applyFont="1"/>
    <xf numFmtId="0" fontId="38" fillId="0" borderId="0" xfId="6" applyFont="1"/>
    <xf numFmtId="0" fontId="8" fillId="0" borderId="0" xfId="6" applyFont="1"/>
    <xf numFmtId="0" fontId="3" fillId="0" borderId="9" xfId="6" applyFont="1" applyBorder="1"/>
    <xf numFmtId="0" fontId="12" fillId="0" borderId="10" xfId="6" applyFont="1" applyBorder="1" applyAlignment="1">
      <alignment horizontal="left" vertical="center"/>
    </xf>
    <xf numFmtId="0" fontId="12" fillId="0" borderId="10" xfId="6" applyFont="1" applyBorder="1" applyAlignment="1">
      <alignment vertical="center"/>
    </xf>
    <xf numFmtId="0" fontId="12" fillId="0" borderId="11" xfId="6" applyFont="1" applyBorder="1" applyAlignment="1">
      <alignment vertical="center"/>
    </xf>
    <xf numFmtId="167" fontId="3" fillId="0" borderId="1" xfId="6" applyNumberFormat="1" applyFont="1" applyBorder="1"/>
    <xf numFmtId="0" fontId="3" fillId="0" borderId="7" xfId="6" applyFont="1" applyBorder="1"/>
    <xf numFmtId="0" fontId="3" fillId="0" borderId="2" xfId="6" applyFont="1" applyBorder="1"/>
    <xf numFmtId="0" fontId="23" fillId="7" borderId="7" xfId="6" applyFont="1" applyFill="1" applyBorder="1" applyAlignment="1">
      <alignment horizontal="center" wrapText="1"/>
    </xf>
    <xf numFmtId="0" fontId="23" fillId="7" borderId="7" xfId="6" applyFont="1" applyFill="1" applyBorder="1" applyAlignment="1">
      <alignment horizontal="center"/>
    </xf>
    <xf numFmtId="0" fontId="8" fillId="0" borderId="0" xfId="6" applyFont="1" applyAlignment="1">
      <alignment horizontal="center"/>
    </xf>
    <xf numFmtId="37" fontId="8" fillId="0" borderId="0" xfId="6" applyNumberFormat="1" applyFont="1"/>
    <xf numFmtId="7" fontId="8" fillId="0" borderId="0" xfId="1" applyNumberFormat="1" applyFont="1"/>
    <xf numFmtId="1" fontId="8" fillId="0" borderId="0" xfId="6" applyNumberFormat="1" applyFont="1" applyAlignment="1">
      <alignment horizontal="left"/>
    </xf>
    <xf numFmtId="1" fontId="3" fillId="0" borderId="0" xfId="6" applyNumberFormat="1" applyFont="1" applyAlignment="1">
      <alignment horizontal="left"/>
    </xf>
    <xf numFmtId="1" fontId="8" fillId="0" borderId="0" xfId="6" applyNumberFormat="1" applyFont="1" applyAlignment="1">
      <alignment horizontal="center"/>
    </xf>
    <xf numFmtId="16" fontId="3" fillId="0" borderId="0" xfId="6" applyNumberFormat="1" applyFont="1"/>
    <xf numFmtId="165" fontId="3" fillId="0" borderId="0" xfId="6" applyNumberFormat="1" applyFont="1"/>
    <xf numFmtId="0" fontId="7" fillId="0" borderId="0" xfId="6" applyFont="1"/>
    <xf numFmtId="0" fontId="23" fillId="8" borderId="4" xfId="0" applyFont="1" applyFill="1" applyBorder="1" applyAlignment="1">
      <alignment horizontal="center" vertical="center" wrapText="1"/>
    </xf>
    <xf numFmtId="0" fontId="23" fillId="8" borderId="8" xfId="0" applyFont="1" applyFill="1" applyBorder="1" applyAlignment="1">
      <alignment horizontal="center" vertical="center" wrapText="1"/>
    </xf>
    <xf numFmtId="0" fontId="23" fillId="8" borderId="8" xfId="0" applyFont="1" applyFill="1" applyBorder="1" applyAlignment="1">
      <alignment horizontal="center" vertical="center"/>
    </xf>
    <xf numFmtId="0" fontId="23" fillId="8" borderId="5" xfId="0" applyFont="1" applyFill="1" applyBorder="1" applyAlignment="1">
      <alignment horizontal="center" vertical="center" wrapText="1"/>
    </xf>
    <xf numFmtId="0" fontId="25" fillId="8" borderId="4"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40" fillId="0" borderId="0" xfId="7" applyFont="1"/>
    <xf numFmtId="0" fontId="41" fillId="0" borderId="0" xfId="8" applyFont="1"/>
    <xf numFmtId="0" fontId="42" fillId="0" borderId="0" xfId="8" applyFont="1"/>
    <xf numFmtId="0" fontId="42" fillId="6" borderId="13" xfId="8" applyFont="1" applyFill="1" applyBorder="1" applyAlignment="1">
      <alignment horizontal="center" vertical="center"/>
    </xf>
    <xf numFmtId="0" fontId="26" fillId="0" borderId="0" xfId="8" applyFont="1"/>
    <xf numFmtId="0" fontId="9" fillId="0" borderId="0" xfId="0" quotePrefix="1" applyFont="1"/>
    <xf numFmtId="0" fontId="8" fillId="0" borderId="0" xfId="0" quotePrefix="1" applyFont="1"/>
    <xf numFmtId="169" fontId="8" fillId="0" borderId="0" xfId="9" applyNumberFormat="1" applyFont="1"/>
    <xf numFmtId="0" fontId="20" fillId="0" borderId="0" xfId="8" applyFont="1"/>
    <xf numFmtId="0" fontId="8" fillId="0" borderId="0" xfId="8"/>
    <xf numFmtId="0" fontId="8" fillId="0" borderId="7" xfId="8" applyBorder="1"/>
    <xf numFmtId="0" fontId="10" fillId="0" borderId="7" xfId="8" applyFont="1" applyBorder="1" applyAlignment="1">
      <alignment horizontal="center" wrapText="1"/>
    </xf>
    <xf numFmtId="0" fontId="8" fillId="4" borderId="0" xfId="8" applyFill="1" applyAlignment="1">
      <alignment horizontal="center"/>
    </xf>
    <xf numFmtId="0" fontId="8" fillId="4" borderId="0" xfId="8" applyFill="1"/>
    <xf numFmtId="0" fontId="8" fillId="4" borderId="12" xfId="8" applyFill="1" applyBorder="1" applyAlignment="1">
      <alignment horizontal="center"/>
    </xf>
    <xf numFmtId="0" fontId="8" fillId="4" borderId="12" xfId="8" applyFill="1" applyBorder="1"/>
    <xf numFmtId="0" fontId="10" fillId="5" borderId="0" xfId="8" applyFont="1" applyFill="1" applyAlignment="1">
      <alignment horizontal="center"/>
    </xf>
    <xf numFmtId="0" fontId="28" fillId="4" borderId="0" xfId="8" applyFont="1" applyFill="1" applyAlignment="1">
      <alignment horizontal="center"/>
    </xf>
    <xf numFmtId="0" fontId="8" fillId="6" borderId="0" xfId="8" applyFill="1"/>
    <xf numFmtId="0" fontId="10" fillId="5" borderId="12" xfId="8" applyFont="1" applyFill="1" applyBorder="1" applyAlignment="1">
      <alignment horizontal="center"/>
    </xf>
    <xf numFmtId="0" fontId="28" fillId="4" borderId="12" xfId="8" applyFont="1" applyFill="1" applyBorder="1" applyAlignment="1">
      <alignment horizontal="center"/>
    </xf>
    <xf numFmtId="0" fontId="8" fillId="6" borderId="12" xfId="8" applyFill="1" applyBorder="1"/>
    <xf numFmtId="0" fontId="8" fillId="0" borderId="7" xfId="8" applyBorder="1" applyAlignment="1">
      <alignment horizontal="center"/>
    </xf>
    <xf numFmtId="0" fontId="20" fillId="0" borderId="4" xfId="8" applyFont="1" applyBorder="1" applyAlignment="1">
      <alignment horizontal="center"/>
    </xf>
    <xf numFmtId="0" fontId="33" fillId="0" borderId="5" xfId="8" applyFont="1" applyBorder="1" applyAlignment="1">
      <alignment horizontal="center"/>
    </xf>
    <xf numFmtId="0" fontId="31" fillId="0" borderId="0" xfId="9" applyFont="1" applyAlignment="1">
      <alignment horizontal="right"/>
    </xf>
    <xf numFmtId="0" fontId="39" fillId="0" borderId="0" xfId="9" applyFont="1"/>
    <xf numFmtId="0" fontId="20" fillId="0" borderId="0" xfId="8" applyFont="1" applyAlignment="1">
      <alignment horizontal="center"/>
    </xf>
    <xf numFmtId="1" fontId="8" fillId="0" borderId="0" xfId="4" applyNumberFormat="1"/>
    <xf numFmtId="1" fontId="0" fillId="0" borderId="0" xfId="10" applyNumberFormat="1" applyFont="1"/>
    <xf numFmtId="0" fontId="46" fillId="0" borderId="0" xfId="0" applyFont="1" applyAlignment="1">
      <alignment horizontal="left" vertical="center" readingOrder="1"/>
    </xf>
    <xf numFmtId="1" fontId="34" fillId="0" borderId="0" xfId="0" applyNumberFormat="1" applyFont="1"/>
    <xf numFmtId="0" fontId="8" fillId="0" borderId="15" xfId="8" applyBorder="1"/>
    <xf numFmtId="0" fontId="20" fillId="0" borderId="14" xfId="8" applyFont="1" applyBorder="1" applyAlignment="1">
      <alignment horizontal="center"/>
    </xf>
    <xf numFmtId="0" fontId="23" fillId="7" borderId="7" xfId="0" applyFont="1" applyFill="1" applyBorder="1" applyAlignment="1">
      <alignment horizontal="center" vertical="center" wrapText="1"/>
    </xf>
    <xf numFmtId="0" fontId="23" fillId="7" borderId="7" xfId="0" applyFont="1" applyFill="1" applyBorder="1" applyAlignment="1">
      <alignment horizontal="center" vertical="center"/>
    </xf>
    <xf numFmtId="1" fontId="47" fillId="0" borderId="0" xfId="0" applyNumberFormat="1" applyFont="1"/>
    <xf numFmtId="6" fontId="8" fillId="0" borderId="0" xfId="2" applyNumberFormat="1" applyAlignment="1">
      <alignment horizontal="right"/>
    </xf>
    <xf numFmtId="0" fontId="1" fillId="0" borderId="0" xfId="9"/>
    <xf numFmtId="0" fontId="10" fillId="0" borderId="7" xfId="9" applyFont="1" applyBorder="1" applyAlignment="1">
      <alignment horizontal="center"/>
    </xf>
    <xf numFmtId="0" fontId="27" fillId="4" borderId="0" xfId="9" applyFont="1" applyFill="1"/>
    <xf numFmtId="0" fontId="1" fillId="4" borderId="0" xfId="9" applyFill="1"/>
    <xf numFmtId="0" fontId="29" fillId="4" borderId="0" xfId="9" applyFont="1" applyFill="1"/>
    <xf numFmtId="0" fontId="30" fillId="4" borderId="0" xfId="9" applyFont="1" applyFill="1"/>
    <xf numFmtId="0" fontId="1" fillId="0" borderId="12" xfId="9" applyBorder="1"/>
    <xf numFmtId="0" fontId="1" fillId="0" borderId="7" xfId="9" applyBorder="1"/>
    <xf numFmtId="0" fontId="31" fillId="0" borderId="0" xfId="9" applyFont="1" applyAlignment="1">
      <alignment horizontal="right" vertical="center"/>
    </xf>
    <xf numFmtId="0" fontId="20" fillId="0" borderId="0" xfId="9" applyFont="1" applyAlignment="1">
      <alignment horizontal="right" vertical="center"/>
    </xf>
    <xf numFmtId="0" fontId="35" fillId="0" borderId="9"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167" fontId="13" fillId="0" borderId="3" xfId="0" applyNumberFormat="1" applyFont="1" applyBorder="1" applyAlignment="1">
      <alignment horizontal="center"/>
    </xf>
    <xf numFmtId="167" fontId="13" fillId="0" borderId="0" xfId="0" applyNumberFormat="1" applyFont="1" applyAlignment="1">
      <alignment horizontal="center"/>
    </xf>
    <xf numFmtId="167" fontId="13" fillId="0" borderId="6" xfId="0" applyNumberFormat="1" applyFont="1" applyBorder="1" applyAlignment="1">
      <alignment horizontal="center"/>
    </xf>
    <xf numFmtId="0" fontId="36" fillId="0" borderId="9" xfId="0" applyFont="1" applyBorder="1" applyAlignment="1">
      <alignment horizontal="center" vertical="center"/>
    </xf>
    <xf numFmtId="0" fontId="37" fillId="0" borderId="11" xfId="0" applyFont="1" applyBorder="1" applyAlignment="1">
      <alignment horizontal="center" vertical="center"/>
    </xf>
    <xf numFmtId="167" fontId="3" fillId="0" borderId="3" xfId="0" applyNumberFormat="1" applyFont="1" applyBorder="1" applyAlignment="1">
      <alignment horizontal="center"/>
    </xf>
    <xf numFmtId="167" fontId="3" fillId="0" borderId="6" xfId="0" applyNumberFormat="1" applyFont="1" applyBorder="1" applyAlignment="1">
      <alignment horizontal="center"/>
    </xf>
  </cellXfs>
  <cellStyles count="11">
    <cellStyle name="Comma" xfId="10" builtinId="3"/>
    <cellStyle name="Currency" xfId="1" builtinId="4"/>
    <cellStyle name="Normal" xfId="0" builtinId="0"/>
    <cellStyle name="Normal 2" xfId="5" xr:uid="{00000000-0005-0000-0000-000002000000}"/>
    <cellStyle name="Normal 2 2" xfId="6" xr:uid="{00000000-0005-0000-0000-000003000000}"/>
    <cellStyle name="Normal 2 2 2" xfId="8" xr:uid="{00000000-0005-0000-0000-000004000000}"/>
    <cellStyle name="Normal 2 2 2 2" xfId="9" xr:uid="{00000000-0005-0000-0000-000005000000}"/>
    <cellStyle name="Normal_BeerSalesDatabase" xfId="2" xr:uid="{00000000-0005-0000-0000-000006000000}"/>
    <cellStyle name="Normal_Book1" xfId="3" xr:uid="{00000000-0005-0000-0000-000007000000}"/>
    <cellStyle name="Normal_New Tasks for 2004" xfId="4" xr:uid="{00000000-0005-0000-0000-000008000000}"/>
    <cellStyle name="Normal_Proficiency" xfId="7" xr:uid="{00000000-0005-0000-0000-000009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FDFD3"/>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99"/>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285750</xdr:colOff>
      <xdr:row>10</xdr:row>
      <xdr:rowOff>47625</xdr:rowOff>
    </xdr:from>
    <xdr:to>
      <xdr:col>1</xdr:col>
      <xdr:colOff>428625</xdr:colOff>
      <xdr:row>10</xdr:row>
      <xdr:rowOff>171450</xdr:rowOff>
    </xdr:to>
    <xdr:pic>
      <xdr:nvPicPr>
        <xdr:cNvPr id="17409" name="Picture 1" descr="BD21295_">
          <a:extLst>
            <a:ext uri="{FF2B5EF4-FFF2-40B4-BE49-F238E27FC236}">
              <a16:creationId xmlns:a16="http://schemas.microsoft.com/office/drawing/2014/main" id="{00000000-0008-0000-0000-000001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1657350"/>
          <a:ext cx="142875" cy="123825"/>
        </a:xfrm>
        <a:prstGeom prst="rect">
          <a:avLst/>
        </a:prstGeom>
        <a:noFill/>
      </xdr:spPr>
    </xdr:pic>
    <xdr:clientData/>
  </xdr:twoCellAnchor>
  <xdr:twoCellAnchor editAs="oneCell">
    <xdr:from>
      <xdr:col>1</xdr:col>
      <xdr:colOff>285750</xdr:colOff>
      <xdr:row>9</xdr:row>
      <xdr:rowOff>38100</xdr:rowOff>
    </xdr:from>
    <xdr:to>
      <xdr:col>1</xdr:col>
      <xdr:colOff>428625</xdr:colOff>
      <xdr:row>9</xdr:row>
      <xdr:rowOff>161925</xdr:rowOff>
    </xdr:to>
    <xdr:pic>
      <xdr:nvPicPr>
        <xdr:cNvPr id="17410" name="Picture 2" descr="BD21295_">
          <a:extLst>
            <a:ext uri="{FF2B5EF4-FFF2-40B4-BE49-F238E27FC236}">
              <a16:creationId xmlns:a16="http://schemas.microsoft.com/office/drawing/2014/main" id="{00000000-0008-0000-0000-000002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1457325"/>
          <a:ext cx="142875" cy="123825"/>
        </a:xfrm>
        <a:prstGeom prst="rect">
          <a:avLst/>
        </a:prstGeom>
        <a:noFill/>
      </xdr:spPr>
    </xdr:pic>
    <xdr:clientData/>
  </xdr:twoCellAnchor>
  <xdr:twoCellAnchor editAs="oneCell">
    <xdr:from>
      <xdr:col>1</xdr:col>
      <xdr:colOff>285750</xdr:colOff>
      <xdr:row>13</xdr:row>
      <xdr:rowOff>47625</xdr:rowOff>
    </xdr:from>
    <xdr:to>
      <xdr:col>1</xdr:col>
      <xdr:colOff>428625</xdr:colOff>
      <xdr:row>13</xdr:row>
      <xdr:rowOff>171450</xdr:rowOff>
    </xdr:to>
    <xdr:pic>
      <xdr:nvPicPr>
        <xdr:cNvPr id="17411" name="Picture 3" descr="BD21295_">
          <a:extLst>
            <a:ext uri="{FF2B5EF4-FFF2-40B4-BE49-F238E27FC236}">
              <a16:creationId xmlns:a16="http://schemas.microsoft.com/office/drawing/2014/main" id="{00000000-0008-0000-0000-000003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2228850"/>
          <a:ext cx="142875" cy="123825"/>
        </a:xfrm>
        <a:prstGeom prst="rect">
          <a:avLst/>
        </a:prstGeom>
        <a:noFill/>
      </xdr:spPr>
    </xdr:pic>
    <xdr:clientData/>
  </xdr:twoCellAnchor>
  <xdr:twoCellAnchor editAs="oneCell">
    <xdr:from>
      <xdr:col>1</xdr:col>
      <xdr:colOff>285750</xdr:colOff>
      <xdr:row>14</xdr:row>
      <xdr:rowOff>47625</xdr:rowOff>
    </xdr:from>
    <xdr:to>
      <xdr:col>1</xdr:col>
      <xdr:colOff>428625</xdr:colOff>
      <xdr:row>14</xdr:row>
      <xdr:rowOff>171450</xdr:rowOff>
    </xdr:to>
    <xdr:pic>
      <xdr:nvPicPr>
        <xdr:cNvPr id="17412" name="Picture 4" descr="BD21295_">
          <a:extLst>
            <a:ext uri="{FF2B5EF4-FFF2-40B4-BE49-F238E27FC236}">
              <a16:creationId xmlns:a16="http://schemas.microsoft.com/office/drawing/2014/main" id="{00000000-0008-0000-0000-000004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2647950"/>
          <a:ext cx="142875" cy="123825"/>
        </a:xfrm>
        <a:prstGeom prst="rect">
          <a:avLst/>
        </a:prstGeom>
        <a:noFill/>
      </xdr:spPr>
    </xdr:pic>
    <xdr:clientData/>
  </xdr:twoCellAnchor>
  <xdr:twoCellAnchor editAs="oneCell">
    <xdr:from>
      <xdr:col>1</xdr:col>
      <xdr:colOff>285750</xdr:colOff>
      <xdr:row>11</xdr:row>
      <xdr:rowOff>47625</xdr:rowOff>
    </xdr:from>
    <xdr:to>
      <xdr:col>1</xdr:col>
      <xdr:colOff>428625</xdr:colOff>
      <xdr:row>11</xdr:row>
      <xdr:rowOff>171450</xdr:rowOff>
    </xdr:to>
    <xdr:pic>
      <xdr:nvPicPr>
        <xdr:cNvPr id="17413" name="Picture 5" descr="BD21295_">
          <a:extLst>
            <a:ext uri="{FF2B5EF4-FFF2-40B4-BE49-F238E27FC236}">
              <a16:creationId xmlns:a16="http://schemas.microsoft.com/office/drawing/2014/main" id="{00000000-0008-0000-0000-000005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1847850"/>
          <a:ext cx="142875" cy="123825"/>
        </a:xfrm>
        <a:prstGeom prst="rect">
          <a:avLst/>
        </a:prstGeom>
        <a:noFill/>
      </xdr:spPr>
    </xdr:pic>
    <xdr:clientData/>
  </xdr:twoCellAnchor>
  <xdr:twoCellAnchor editAs="oneCell">
    <xdr:from>
      <xdr:col>1</xdr:col>
      <xdr:colOff>285750</xdr:colOff>
      <xdr:row>12</xdr:row>
      <xdr:rowOff>47625</xdr:rowOff>
    </xdr:from>
    <xdr:to>
      <xdr:col>1</xdr:col>
      <xdr:colOff>428625</xdr:colOff>
      <xdr:row>12</xdr:row>
      <xdr:rowOff>171450</xdr:rowOff>
    </xdr:to>
    <xdr:pic>
      <xdr:nvPicPr>
        <xdr:cNvPr id="17418" name="Picture 10" descr="BD21295_">
          <a:extLst>
            <a:ext uri="{FF2B5EF4-FFF2-40B4-BE49-F238E27FC236}">
              <a16:creationId xmlns:a16="http://schemas.microsoft.com/office/drawing/2014/main" id="{00000000-0008-0000-0000-00000A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2038350"/>
          <a:ext cx="142875" cy="123825"/>
        </a:xfrm>
        <a:prstGeom prst="rect">
          <a:avLst/>
        </a:prstGeom>
        <a:noFill/>
      </xdr:spPr>
    </xdr:pic>
    <xdr:clientData/>
  </xdr:twoCellAnchor>
  <xdr:twoCellAnchor editAs="oneCell">
    <xdr:from>
      <xdr:col>1</xdr:col>
      <xdr:colOff>285750</xdr:colOff>
      <xdr:row>16</xdr:row>
      <xdr:rowOff>47625</xdr:rowOff>
    </xdr:from>
    <xdr:to>
      <xdr:col>1</xdr:col>
      <xdr:colOff>428625</xdr:colOff>
      <xdr:row>16</xdr:row>
      <xdr:rowOff>171450</xdr:rowOff>
    </xdr:to>
    <xdr:pic>
      <xdr:nvPicPr>
        <xdr:cNvPr id="10" name="Picture 6" descr="BD21295_">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3028950"/>
          <a:ext cx="142875" cy="123825"/>
        </a:xfrm>
        <a:prstGeom prst="rect">
          <a:avLst/>
        </a:prstGeom>
        <a:noFill/>
      </xdr:spPr>
    </xdr:pic>
    <xdr:clientData/>
  </xdr:twoCellAnchor>
  <xdr:twoCellAnchor editAs="oneCell">
    <xdr:from>
      <xdr:col>1</xdr:col>
      <xdr:colOff>285750</xdr:colOff>
      <xdr:row>15</xdr:row>
      <xdr:rowOff>47625</xdr:rowOff>
    </xdr:from>
    <xdr:to>
      <xdr:col>1</xdr:col>
      <xdr:colOff>428625</xdr:colOff>
      <xdr:row>15</xdr:row>
      <xdr:rowOff>171450</xdr:rowOff>
    </xdr:to>
    <xdr:pic>
      <xdr:nvPicPr>
        <xdr:cNvPr id="11" name="Picture 6" descr="BD21295_">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2838450"/>
          <a:ext cx="142875" cy="123825"/>
        </a:xfrm>
        <a:prstGeom prst="rect">
          <a:avLst/>
        </a:prstGeom>
        <a:noFill/>
      </xdr:spPr>
    </xdr:pic>
    <xdr:clientData/>
  </xdr:twoCellAnchor>
  <xdr:twoCellAnchor editAs="oneCell">
    <xdr:from>
      <xdr:col>1</xdr:col>
      <xdr:colOff>285750</xdr:colOff>
      <xdr:row>8</xdr:row>
      <xdr:rowOff>38100</xdr:rowOff>
    </xdr:from>
    <xdr:to>
      <xdr:col>1</xdr:col>
      <xdr:colOff>428625</xdr:colOff>
      <xdr:row>8</xdr:row>
      <xdr:rowOff>161925</xdr:rowOff>
    </xdr:to>
    <xdr:pic>
      <xdr:nvPicPr>
        <xdr:cNvPr id="12" name="Picture 2" descr="BD21295_">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71550" y="1943100"/>
          <a:ext cx="142875" cy="123825"/>
        </a:xfrm>
        <a:prstGeom prst="rect">
          <a:avLst/>
        </a:prstGeom>
        <a:noFill/>
      </xdr:spPr>
    </xdr:pic>
    <xdr:clientData/>
  </xdr:twoCellAnchor>
  <xdr:twoCellAnchor editAs="oneCell">
    <xdr:from>
      <xdr:col>0</xdr:col>
      <xdr:colOff>693420</xdr:colOff>
      <xdr:row>21</xdr:row>
      <xdr:rowOff>152400</xdr:rowOff>
    </xdr:from>
    <xdr:to>
      <xdr:col>2</xdr:col>
      <xdr:colOff>281940</xdr:colOff>
      <xdr:row>26</xdr:row>
      <xdr:rowOff>16986</xdr:rowOff>
    </xdr:to>
    <xdr:pic>
      <xdr:nvPicPr>
        <xdr:cNvPr id="13" name="Picture 12" descr="File:Fuqua School of Business logo.jpg - Wikipedia">
          <a:extLst>
            <a:ext uri="{FF2B5EF4-FFF2-40B4-BE49-F238E27FC236}">
              <a16:creationId xmlns:a16="http://schemas.microsoft.com/office/drawing/2014/main" id="{935DDCDF-E5BA-404C-933C-65FA1D809E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93420" y="4328160"/>
          <a:ext cx="857250" cy="8170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762000</xdr:colOff>
      <xdr:row>16</xdr:row>
      <xdr:rowOff>180976</xdr:rowOff>
    </xdr:from>
    <xdr:to>
      <xdr:col>10</xdr:col>
      <xdr:colOff>276225</xdr:colOff>
      <xdr:row>38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2000" y="3914776"/>
          <a:ext cx="5895975" cy="500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The Honor Code for DEC616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There is no graded group- or team-oriented work assigned in this course. All work is individual and each student is individually responsible for learning the material necessary to complete the  assignments.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Copying another student's work, or otherwise turning in another student's work as your own is a clear violation of the Honor Code in this course. Any assignment or quiz you submit must be entirely your own work. Assignments and quizzes you submit are considered to be evidence of skills you have learned and you must possess the underlying skills you are representing with your completed work. You may certainly assist other students by helping them understand the required skills. And, you may seek help in learning these skills from other students. You may not, however, </a:t>
          </a:r>
          <a:r>
            <a:rPr lang="en-US" sz="1100" b="1" i="1">
              <a:solidFill>
                <a:schemeClr val="dk1"/>
              </a:solidFill>
              <a:effectLst/>
              <a:latin typeface="+mn-lt"/>
              <a:ea typeface="+mn-ea"/>
              <a:cs typeface="+mn-cs"/>
            </a:rPr>
            <a:t>do</a:t>
          </a:r>
          <a:r>
            <a:rPr lang="en-US" sz="1100" b="0" i="0">
              <a:solidFill>
                <a:schemeClr val="dk1"/>
              </a:solidFill>
              <a:effectLst/>
              <a:latin typeface="+mn-lt"/>
              <a:ea typeface="+mn-ea"/>
              <a:cs typeface="+mn-cs"/>
            </a:rPr>
            <a:t> the work for another student or have the work done for you by simply showing or being shown the literal keystrokes required to perform a task. In addition to the prohibition on sharing work on assignments, you are prohibited from sharing quiz answers or circulating copies of a quiz to others, whether they're enrolled in this course or not.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distinction between sharing help, such as explaining a concept to a fellow student, and showing him or her literally what is required to complete an assignment is important. If you receive help from someone, you should feel comfortable that you have learned the concepts and skills required to complete the assignment and that you could apply these concepts and skills in a similar context to solve a similar but different problem. If you give help to someone you should feel similarly comfortable about the level of instruction you offered. If you feel uncomfortable with the kind of help you are giving or receiving or anticipate receiving or giving, please do not hesitate to discuss the specifics of your situation with the instructor.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Bottom Line: Sharing your work on assignment files or sharing quiz answers is a clear and actionable violation of the Honor Code for this course.</a:t>
          </a:r>
        </a:p>
        <a:p>
          <a:endParaRPr lang="en-US" sz="1100"/>
        </a:p>
      </xdr:txBody>
    </xdr:sp>
    <xdr:clientData/>
  </xdr:twoCellAnchor>
  <xdr:twoCellAnchor>
    <xdr:from>
      <xdr:col>1</xdr:col>
      <xdr:colOff>123825</xdr:colOff>
      <xdr:row>4</xdr:row>
      <xdr:rowOff>0</xdr:rowOff>
    </xdr:from>
    <xdr:to>
      <xdr:col>1</xdr:col>
      <xdr:colOff>657225</xdr:colOff>
      <xdr:row>5</xdr:row>
      <xdr:rowOff>171450</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895350" y="914400"/>
          <a:ext cx="533400" cy="40005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638175</xdr:colOff>
      <xdr:row>5</xdr:row>
      <xdr:rowOff>790575</xdr:rowOff>
    </xdr:from>
    <xdr:to>
      <xdr:col>4</xdr:col>
      <xdr:colOff>390525</xdr:colOff>
      <xdr:row>5</xdr:row>
      <xdr:rowOff>1076325</xdr:rowOff>
    </xdr:to>
    <xdr:sp macro="" textlink="">
      <xdr:nvSpPr>
        <xdr:cNvPr id="7169" name="Text Box 1">
          <a:extLst>
            <a:ext uri="{FF2B5EF4-FFF2-40B4-BE49-F238E27FC236}">
              <a16:creationId xmlns:a16="http://schemas.microsoft.com/office/drawing/2014/main" id="{00000000-0008-0000-0400-0000011C0000}"/>
            </a:ext>
          </a:extLst>
        </xdr:cNvPr>
        <xdr:cNvSpPr txBox="1">
          <a:spLocks noChangeArrowheads="1"/>
        </xdr:cNvSpPr>
      </xdr:nvSpPr>
      <xdr:spPr bwMode="auto">
        <a:xfrm>
          <a:off x="2905125" y="1724025"/>
          <a:ext cx="2495550" cy="285750"/>
        </a:xfrm>
        <a:prstGeom prst="rect">
          <a:avLst/>
        </a:prstGeom>
        <a:solidFill>
          <a:srgbClr val="FFFFFF"/>
        </a:solidFill>
        <a:ln w="9525">
          <a:noFill/>
          <a:miter lim="800000"/>
          <a:headEnd/>
          <a:tailEnd/>
        </a:ln>
      </xdr:spPr>
      <xdr:txBody>
        <a:bodyPr vertOverflow="clip" wrap="square" lIns="27432" tIns="27432" rIns="27432" bIns="27432" anchor="ctr" upright="1"/>
        <a:lstStyle/>
        <a:p>
          <a:pPr algn="ctr" rtl="0">
            <a:defRPr sz="1000"/>
          </a:pPr>
          <a:r>
            <a:rPr lang="en-US" sz="1600" b="0" i="1" strike="noStrike">
              <a:solidFill>
                <a:srgbClr val="000000"/>
              </a:solidFill>
              <a:latin typeface="Book Antiqua"/>
            </a:rPr>
            <a:t>Total Pay Report</a:t>
          </a:r>
        </a:p>
      </xdr:txBody>
    </xdr:sp>
    <xdr:clientData/>
  </xdr:twoCellAnchor>
  <xdr:twoCellAnchor editAs="oneCell">
    <xdr:from>
      <xdr:col>8</xdr:col>
      <xdr:colOff>0</xdr:colOff>
      <xdr:row>3</xdr:row>
      <xdr:rowOff>0</xdr:rowOff>
    </xdr:from>
    <xdr:to>
      <xdr:col>8</xdr:col>
      <xdr:colOff>304800</xdr:colOff>
      <xdr:row>4</xdr:row>
      <xdr:rowOff>123825</xdr:rowOff>
    </xdr:to>
    <xdr:sp macro="" textlink="">
      <xdr:nvSpPr>
        <xdr:cNvPr id="2049" name="AutoShape 1" descr="data:image/jpeg;base64,/9j/4AAQSkZJRgABAQAAAQABAAD/2wCEAAkGBwgHBgkIBwgWFgkVGRcaFRQYGCMgHBwWIBwdHiQdHx4nIygsGyYmJx8eLT0jLiwrLjIyIyszOD84PDQtLisBCgoKBQUFDgUFDisZExkrKysrKysrKysrKysrKysrKysrKysrKysrKysrKysrKysrKysrKysrKysrKysrKysrK//AABEIASoAqQMBIgACEQEDEQH/xAAcAAEBAAIDAQEAAAAAAAAAAAAACAUHAwQGAgH/xABEEAABAgQBBgsFBwIFBQAAAAAAAQIDBAURBgcXIXKTsxIxNjdBUVJVdNHSFGFxgZIIEzKCkaHBVLEiU2JzshUWIzNC/8QAFAEBAAAAAAAAAAAAAAAAAAAAAP/EABQRAQAAAAAAAAAAAAAAAAAAAAD/2gAMAwEAAhEDEQA/APa5T8o0tgqWZLy0NIlXiJdkNfwtbxcN9tNr8SJa9l0oT9WsfYqrUZ0SdrcVGr/8Q3KxiJ1cFtkX4rdTrY5q8SuYuq1QiPujorkb/ttXgtT5NRDBAdp1Sn3KqunYl9dfM+PbZv8Aqn/UpwADn9tm/wCqf9Sn6k9ONW6TT/qXzOuAO1/1Ge/rIn1r5n4s/OuSyzb/AKl8zrADn9tm/wCqf9Sn46amHfimHL+ZThAHIseMqKixXW+KnGAAAAA+2RYjEsyIqJ7lPgAdhs9Nt/DNPT8y+Z8um5l34ph6/mU4QB2oNRnoC3gzsRq+56p/JmqXj3FlKiI+Tr8fVe/ht+l90/Y82AKTyW5VmYqmG0mtQmw6rZVY5uhkS2lURFVeC5E02uqLZbW4jaBEkhORqfPS87KvtHhua9i9Tmqip+6FRZzKT1fuBKoAAAAAAAAAAAAAAAAAAAAAAAAAAHJ99F/zF/U4wAPV4PyfYgxfAiTFKl2pKtWyxIjuC1XaP8KcaqunqseUKjyE828hrxt44DVOY3F3bl9ovpGY3F3bl9ovpKWAE05jcXduX2i+kZjcXduX2i+kpYATTmNxd25faL6RmNxd25faL6SlgBNOY3F3bl9ovpGY3F3bl9ovpKWAE05jcXduX2i+kZjcXduX2i+kpYATTmNxd25faL6RmNxd25faL6SlgBNOY3F3bl9ovpGY3F3bl9ovpKWAE05jcXduX2i+kZjcXduX2i+kpYATTmNxd25faL6TF4kyU4pw9S4lSmoDHyzNL1hP4Stb2lRURbe9L2410aSqjCY45FYg8LMbpwEbgAAVHkJ5t5DXjbxxLhUeQnm3kNeNvHAbAAAAAAAAAAAAAAAAAAAAAADCY35F1/wsxunGbMJjfkXX/CzG6cBG4AAFR5CebeQ1428cS4VHkJ5t5DXjbxwGwAAAAAAAAAAAAAAAAAAAAAAwmN+Rdf8ACzG6cZswmN+Rdf8ACzG6cBG4AAFR5CebeQ1428cS4VHkJ5t5DXjbxwGwAAAAAAAAAAAAAAAAAAAAAAwmN+Rdf8LMbpxmzCY35F1/wsxunARuAABUeQnm3kNeNvHEuFR5CebeQ1428cBsAAAAAAAAAAAAAAAAAAAAAAMJjfkXX/CzG6cZswmN+Rdf8LMbpwEbgAAVHkJ5t5DXjbxxLhUeQnm3kNeNvHAbAAAAAAAAAAAAAAAAAAAAAADCY35F1/wsxunGbMJjfkXX/CzG6cBG4AAFR5CebeQ1428cS4VHkJ5t5DXjbxwGwAAAAAAAAAAAAAAAAAAAAAAwmN+Rdf8ACzG6cZswmN+Rdf8ACzG6cBG4AAFR5CebeQ1428cS4VHkJ5t5DXjbxwGwAAAAAAAAAAAAAAAAAAAAAAwmN+Rdf8LMbpxmzCY35F1/wsxunARuAABUeQnm3kNeNvHEuFR5CebeQ1428cBsAAAAAAAAAAAAAAAAAAAAAAMJjfkXX/CzG6cZswmN+Rdf8LMbpwEbgAAVHkJ5t5DXjbxxLhUeQnm3kNeNvHAbAAAAAAAAAAAAAAAAAAAAAADCY35F1/wsxunGbMJjfkXX/CzG6cBG4AAFR5CebeQ1428cS4VHkJ5t5DXjbxwGwAAAAAAAAAAAAAAAAAAAAAAwmN+Rdf8ACzG6cZswmN+Rdf8ACzG6cBG4AAFR5CebeQ1428cS4VHkJ5t5DXjbxwGwAAAAAAAAAAAAAAAAAAAAAAwmN+Rdf8LMbpxmzCY35F1/wsxunARuAABUeQnm3kNeNvHEuFR5CebeQ1428cBsAAAAAAAAAAAAAAAAAAAAAAMJjfkXX/CzG6cZswmN+Rdf8LMbpwEbgAAbnyR5UaNh3DyUWutezgOe5kRreEio5b2VE0ot1Xotb99MACos8uCe8H7F/kM8uCe8H7F/kS6AKizy4J7wfsX+Qzy4J7wfsX+RLoAqLPLgnvB+xf5DPLgnvB+xf5EugCos8uCe8H7F/kM8uCe8H7F/kS6AKizy4J7wfsX+Qzy4J7wfsX+RNsvQ6vMwEmJelR3QV0o9sJytt8USx0HNcxyte2zk0Ki9YFQ55cE94P2L/IZ5cE94P2L/ACJdAFRZ5cE94P2L/IZ5cE94P2L/ACJdAFRZ5cE94P2L/IZ5cE94P2L/ACJdAFRZ5cE94P2L/IwGOcsOG5rDFQkKOr4s1HhvhJdita1HtVquVV6kVdCIt16uMnwAAAAAAAAAdulU2cq9QgU+my6xJuItmMTjVeP5IiXVVXQiJdTacDIHXHyX3karQGzVtEOzlbfqV9tHyavzO39mmUl31Cuzb2p7SxkFrF6Ua5Xq7/g030BGeJ8N1TC1TdT6zL8GLxtVFu1ze01elP3TpspiCjPtGyktEwfJTcRE9oZHa1i202cx3Canx4KL+UnMAUfkoyXSNGp8Cr1+WSJVnojmsel2wU40REXjfxXVeJdCcSq7RGDoEKaxdRJeO28J8xAa5F6WrEaioWWAPK45wHR8YyMRk3BRk/b/AMcw1qcNqpxX7bf9K/Ky6U9UAIqrdKm6HVpql1BlpmE5WuTo+KdaKllRepTom0PtES8KDjyDEhtRHPl4bn+93DiN0/JrTV4HapdOnKtUIEhTZdYk3EWzGN41X+ETjVV0ImlTbMnkBqsSTR85WoTJnsNYrkT3K66f2Pz7NsrLRK7V5qIie0shMRmq5y8JU+lun3+8oECOcX4Tq2EKiklWIKIqpdkRq3Y9Otq2Ti6lRFTq0oYIpb7QctLRcBpHjon30ONDWGvTdboqfpdbe73E0gAAAAAAHfr8g6lVyoU97bLCixGfS5UOgAAAHo8B4unMGV1tSlGcOGqcGLCVbI9i6bX02VFRFRej4XRd8y+WzB0WTSNFjRWRbf8AqWEquv1XS7f3JjAHuMqGUGNjeegtgwVh0yFf7uGq6VVeN77aL24k0206dKnhwAOWVmIspMwZmXfwYzHI5rupyLdF/UsHBmJpPFlAl6pJOThKiJEZfSyJbS1f4XpSykcmWw3iSr4ZnvbKLOuhxF/EnG1ydTmrod/HQBZpxTczAk5aLMzcVGQGIrnOctkRqaVVV6CfYGXyvNl+DHpUu6N2k4aJ804S/wB0PG4vyg4ixc37qpzSNlOP7mGnBZfrVLqrvmq26AOLKLiX/uvFs7U4d/ZroyCi9EJuhPhfS63QrrHmgAM5gzE87hGvQarIIiqiK17F4nw1tdq9XEi36FRF9xvmUy44Tiyf30w2OyPbTD4F1v7lRbL8VsTUAPd5UMosfG8zBgwIKw6XCVVYxV/xOdxcN1tF7aERL2uulbnhAAAAAAG58y8b/LX9V8wMnlsybzVSmnYkoEBXx1RPaILdLlslke1OlbIiKiadCKnSaGc1WuVrks5ONC4jX2VejUuLSnTsSmwVm1veIsNqvtrWuBLoPuKiJFeicV1PgAAAAAAAAAAAAAAAAAAAABRORSjUqNS4c3FpkF001EVsRYbVci9aOtdAPGZIMmtQqlXlK5WZZYdLhKj2I9LLFemltk7KLZVcuheJL3VUo0AD/9k=">
          <a:extLst>
            <a:ext uri="{FF2B5EF4-FFF2-40B4-BE49-F238E27FC236}">
              <a16:creationId xmlns:a16="http://schemas.microsoft.com/office/drawing/2014/main" id="{00000000-0008-0000-0400-000001080000}"/>
            </a:ext>
          </a:extLst>
        </xdr:cNvPr>
        <xdr:cNvSpPr>
          <a:spLocks noChangeAspect="1" noChangeArrowheads="1"/>
        </xdr:cNvSpPr>
      </xdr:nvSpPr>
      <xdr:spPr bwMode="auto">
        <a:xfrm>
          <a:off x="8391525" y="56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285750</xdr:colOff>
      <xdr:row>5</xdr:row>
      <xdr:rowOff>114300</xdr:rowOff>
    </xdr:from>
    <xdr:to>
      <xdr:col>1</xdr:col>
      <xdr:colOff>1018773</xdr:colOff>
      <xdr:row>6</xdr:row>
      <xdr:rowOff>166269</xdr:rowOff>
    </xdr:to>
    <xdr:pic>
      <xdr:nvPicPr>
        <xdr:cNvPr id="6" name="irc_mi" descr="http://sweetclipart.com/multisite/sweetclipart/files/smart_phone_icon.pn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0" y="1047750"/>
          <a:ext cx="733023" cy="1290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161925</xdr:colOff>
      <xdr:row>5</xdr:row>
      <xdr:rowOff>762000</xdr:rowOff>
    </xdr:from>
    <xdr:to>
      <xdr:col>5</xdr:col>
      <xdr:colOff>1724025</xdr:colOff>
      <xdr:row>5</xdr:row>
      <xdr:rowOff>1000125</xdr:rowOff>
    </xdr:to>
    <xdr:sp macro="" textlink="">
      <xdr:nvSpPr>
        <xdr:cNvPr id="12289" name="Text Box 1">
          <a:extLst>
            <a:ext uri="{FF2B5EF4-FFF2-40B4-BE49-F238E27FC236}">
              <a16:creationId xmlns:a16="http://schemas.microsoft.com/office/drawing/2014/main" id="{00000000-0008-0000-0500-000001300000}"/>
            </a:ext>
          </a:extLst>
        </xdr:cNvPr>
        <xdr:cNvSpPr txBox="1">
          <a:spLocks noChangeArrowheads="1"/>
        </xdr:cNvSpPr>
      </xdr:nvSpPr>
      <xdr:spPr bwMode="auto">
        <a:xfrm>
          <a:off x="2581275" y="1819275"/>
          <a:ext cx="3438525" cy="238125"/>
        </a:xfrm>
        <a:prstGeom prst="rect">
          <a:avLst/>
        </a:prstGeom>
        <a:solidFill>
          <a:srgbClr val="FFFFFF"/>
        </a:solidFill>
        <a:ln w="9525">
          <a:noFill/>
          <a:miter lim="800000"/>
          <a:headEnd/>
          <a:tailEnd/>
        </a:ln>
      </xdr:spPr>
      <xdr:txBody>
        <a:bodyPr vertOverflow="clip" wrap="square" lIns="27432" tIns="27432" rIns="27432" bIns="27432" anchor="ctr" upright="1"/>
        <a:lstStyle/>
        <a:p>
          <a:pPr algn="ctr" rtl="0"/>
          <a:r>
            <a:rPr lang="en-US" sz="1100" b="0" i="1">
              <a:effectLst/>
              <a:latin typeface="+mn-lt"/>
              <a:ea typeface="+mn-ea"/>
              <a:cs typeface="+mn-cs"/>
            </a:rPr>
            <a:t>Employee Name Report</a:t>
          </a:r>
          <a:endParaRPr lang="en-US">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1333500</xdr:colOff>
      <xdr:row>4</xdr:row>
      <xdr:rowOff>815916</xdr:rowOff>
    </xdr:from>
    <xdr:to>
      <xdr:col>4</xdr:col>
      <xdr:colOff>449293</xdr:colOff>
      <xdr:row>4</xdr:row>
      <xdr:rowOff>1054041</xdr:rowOff>
    </xdr:to>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2019300" y="1663641"/>
          <a:ext cx="3478243" cy="238125"/>
        </a:xfrm>
        <a:prstGeom prst="rect">
          <a:avLst/>
        </a:prstGeom>
        <a:solidFill>
          <a:srgbClr val="FFFFFF"/>
        </a:solidFill>
        <a:ln w="9525">
          <a:noFill/>
          <a:miter lim="800000"/>
          <a:headEnd/>
          <a:tailEnd/>
        </a:ln>
      </xdr:spPr>
      <xdr:txBody>
        <a:bodyPr vertOverflow="clip" wrap="square" lIns="27432" tIns="27432" rIns="27432" bIns="27432" anchor="ctr" upright="1"/>
        <a:lstStyle/>
        <a:p>
          <a:pPr algn="ctr" rtl="0">
            <a:defRPr sz="1000"/>
          </a:pPr>
          <a:r>
            <a:rPr lang="en-US" sz="1400" b="0" i="1" strike="noStrike">
              <a:solidFill>
                <a:srgbClr val="000000"/>
              </a:solidFill>
              <a:latin typeface="Book Antiqua"/>
            </a:rPr>
            <a:t>Sales</a:t>
          </a:r>
          <a:r>
            <a:rPr lang="en-US" sz="1400" b="0" i="1" strike="noStrike" baseline="0">
              <a:solidFill>
                <a:srgbClr val="000000"/>
              </a:solidFill>
              <a:latin typeface="Book Antiqua"/>
            </a:rPr>
            <a:t> Summary</a:t>
          </a:r>
          <a:endParaRPr lang="en-US" sz="1400" b="0" i="1" strike="noStrike">
            <a:solidFill>
              <a:srgbClr val="000000"/>
            </a:solidFill>
            <a:latin typeface="Book Antiqua"/>
          </a:endParaRPr>
        </a:p>
      </xdr:txBody>
    </xdr:sp>
    <xdr:clientData/>
  </xdr:twoCellAnchor>
  <xdr:twoCellAnchor editAs="oneCell">
    <xdr:from>
      <xdr:col>1</xdr:col>
      <xdr:colOff>233633</xdr:colOff>
      <xdr:row>4</xdr:row>
      <xdr:rowOff>89859</xdr:rowOff>
    </xdr:from>
    <xdr:to>
      <xdr:col>1</xdr:col>
      <xdr:colOff>966656</xdr:colOff>
      <xdr:row>5</xdr:row>
      <xdr:rowOff>140031</xdr:rowOff>
    </xdr:to>
    <xdr:pic>
      <xdr:nvPicPr>
        <xdr:cNvPr id="3" name="irc_mi" descr="http://sweetclipart.com/multisite/sweetclipart/files/smart_phone_icon.png">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9433" y="937584"/>
          <a:ext cx="733023" cy="1288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390525</xdr:colOff>
      <xdr:row>27</xdr:row>
      <xdr:rowOff>0</xdr:rowOff>
    </xdr:from>
    <xdr:to>
      <xdr:col>1</xdr:col>
      <xdr:colOff>523875</xdr:colOff>
      <xdr:row>27</xdr:row>
      <xdr:rowOff>133350</xdr:rowOff>
    </xdr:to>
    <xdr:sp macro="" textlink="">
      <xdr:nvSpPr>
        <xdr:cNvPr id="2" name="Rectangle 1">
          <a:extLst>
            <a:ext uri="{FF2B5EF4-FFF2-40B4-BE49-F238E27FC236}">
              <a16:creationId xmlns:a16="http://schemas.microsoft.com/office/drawing/2014/main" id="{4DB984F2-1285-4802-8787-1720473F25D7}"/>
            </a:ext>
          </a:extLst>
        </xdr:cNvPr>
        <xdr:cNvSpPr>
          <a:spLocks noChangeArrowheads="1"/>
        </xdr:cNvSpPr>
      </xdr:nvSpPr>
      <xdr:spPr bwMode="auto">
        <a:xfrm>
          <a:off x="1057275" y="46196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22</xdr:row>
      <xdr:rowOff>0</xdr:rowOff>
    </xdr:from>
    <xdr:to>
      <xdr:col>1</xdr:col>
      <xdr:colOff>523875</xdr:colOff>
      <xdr:row>22</xdr:row>
      <xdr:rowOff>133350</xdr:rowOff>
    </xdr:to>
    <xdr:sp macro="" textlink="">
      <xdr:nvSpPr>
        <xdr:cNvPr id="3" name="Rectangle 2">
          <a:extLst>
            <a:ext uri="{FF2B5EF4-FFF2-40B4-BE49-F238E27FC236}">
              <a16:creationId xmlns:a16="http://schemas.microsoft.com/office/drawing/2014/main" id="{E0FC9903-3ED5-4064-8328-0B9CC81E5DE2}"/>
            </a:ext>
          </a:extLst>
        </xdr:cNvPr>
        <xdr:cNvSpPr>
          <a:spLocks noChangeArrowheads="1"/>
        </xdr:cNvSpPr>
      </xdr:nvSpPr>
      <xdr:spPr bwMode="auto">
        <a:xfrm>
          <a:off x="1057275" y="38100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18</xdr:row>
      <xdr:rowOff>0</xdr:rowOff>
    </xdr:from>
    <xdr:to>
      <xdr:col>1</xdr:col>
      <xdr:colOff>523875</xdr:colOff>
      <xdr:row>18</xdr:row>
      <xdr:rowOff>133350</xdr:rowOff>
    </xdr:to>
    <xdr:sp macro="" textlink="">
      <xdr:nvSpPr>
        <xdr:cNvPr id="4" name="Rectangle 3">
          <a:extLst>
            <a:ext uri="{FF2B5EF4-FFF2-40B4-BE49-F238E27FC236}">
              <a16:creationId xmlns:a16="http://schemas.microsoft.com/office/drawing/2014/main" id="{75FF0836-FA5F-4BF6-9AEB-805D831FE732}"/>
            </a:ext>
          </a:extLst>
        </xdr:cNvPr>
        <xdr:cNvSpPr>
          <a:spLocks noChangeArrowheads="1"/>
        </xdr:cNvSpPr>
      </xdr:nvSpPr>
      <xdr:spPr bwMode="auto">
        <a:xfrm>
          <a:off x="1057275" y="3162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14</xdr:row>
      <xdr:rowOff>0</xdr:rowOff>
    </xdr:from>
    <xdr:to>
      <xdr:col>1</xdr:col>
      <xdr:colOff>523875</xdr:colOff>
      <xdr:row>14</xdr:row>
      <xdr:rowOff>133350</xdr:rowOff>
    </xdr:to>
    <xdr:sp macro="" textlink="">
      <xdr:nvSpPr>
        <xdr:cNvPr id="5" name="Rectangle 4">
          <a:extLst>
            <a:ext uri="{FF2B5EF4-FFF2-40B4-BE49-F238E27FC236}">
              <a16:creationId xmlns:a16="http://schemas.microsoft.com/office/drawing/2014/main" id="{81CDB3C8-C253-4292-8EAE-2FB5F44ADB3F}"/>
            </a:ext>
          </a:extLst>
        </xdr:cNvPr>
        <xdr:cNvSpPr>
          <a:spLocks noChangeArrowheads="1"/>
        </xdr:cNvSpPr>
      </xdr:nvSpPr>
      <xdr:spPr bwMode="auto">
        <a:xfrm>
          <a:off x="1057275" y="25146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6" name="Rectangle 5">
          <a:extLst>
            <a:ext uri="{FF2B5EF4-FFF2-40B4-BE49-F238E27FC236}">
              <a16:creationId xmlns:a16="http://schemas.microsoft.com/office/drawing/2014/main" id="{146DED35-A478-4630-AABD-7D892E6FEF87}"/>
            </a:ext>
          </a:extLst>
        </xdr:cNvPr>
        <xdr:cNvSpPr>
          <a:spLocks noChangeArrowheads="1"/>
        </xdr:cNvSpPr>
      </xdr:nvSpPr>
      <xdr:spPr bwMode="auto">
        <a:xfrm>
          <a:off x="1057275" y="13811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409575</xdr:colOff>
      <xdr:row>33</xdr:row>
      <xdr:rowOff>0</xdr:rowOff>
    </xdr:from>
    <xdr:to>
      <xdr:col>1</xdr:col>
      <xdr:colOff>542925</xdr:colOff>
      <xdr:row>33</xdr:row>
      <xdr:rowOff>133350</xdr:rowOff>
    </xdr:to>
    <xdr:sp macro="" textlink="">
      <xdr:nvSpPr>
        <xdr:cNvPr id="7" name="Rectangle 6">
          <a:extLst>
            <a:ext uri="{FF2B5EF4-FFF2-40B4-BE49-F238E27FC236}">
              <a16:creationId xmlns:a16="http://schemas.microsoft.com/office/drawing/2014/main" id="{746ACB45-94F0-41AC-A4E7-D8F723D83956}"/>
            </a:ext>
          </a:extLst>
        </xdr:cNvPr>
        <xdr:cNvSpPr>
          <a:spLocks noChangeArrowheads="1"/>
        </xdr:cNvSpPr>
      </xdr:nvSpPr>
      <xdr:spPr bwMode="auto">
        <a:xfrm>
          <a:off x="1076325" y="55911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39</xdr:row>
      <xdr:rowOff>0</xdr:rowOff>
    </xdr:from>
    <xdr:to>
      <xdr:col>1</xdr:col>
      <xdr:colOff>523875</xdr:colOff>
      <xdr:row>39</xdr:row>
      <xdr:rowOff>133350</xdr:rowOff>
    </xdr:to>
    <xdr:sp macro="" textlink="">
      <xdr:nvSpPr>
        <xdr:cNvPr id="8" name="Rectangle 7">
          <a:extLst>
            <a:ext uri="{FF2B5EF4-FFF2-40B4-BE49-F238E27FC236}">
              <a16:creationId xmlns:a16="http://schemas.microsoft.com/office/drawing/2014/main" id="{24813BD1-99D1-4860-B667-056E14A7F9DF}"/>
            </a:ext>
          </a:extLst>
        </xdr:cNvPr>
        <xdr:cNvSpPr>
          <a:spLocks noChangeArrowheads="1"/>
        </xdr:cNvSpPr>
      </xdr:nvSpPr>
      <xdr:spPr bwMode="auto">
        <a:xfrm>
          <a:off x="1057275" y="65627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27</xdr:row>
      <xdr:rowOff>0</xdr:rowOff>
    </xdr:from>
    <xdr:to>
      <xdr:col>1</xdr:col>
      <xdr:colOff>523875</xdr:colOff>
      <xdr:row>27</xdr:row>
      <xdr:rowOff>133350</xdr:rowOff>
    </xdr:to>
    <xdr:sp macro="" textlink="">
      <xdr:nvSpPr>
        <xdr:cNvPr id="9" name="Rectangle 8">
          <a:extLst>
            <a:ext uri="{FF2B5EF4-FFF2-40B4-BE49-F238E27FC236}">
              <a16:creationId xmlns:a16="http://schemas.microsoft.com/office/drawing/2014/main" id="{90C43CFC-B229-460A-BD5D-65A47181A4FB}"/>
            </a:ext>
          </a:extLst>
        </xdr:cNvPr>
        <xdr:cNvSpPr>
          <a:spLocks noChangeArrowheads="1"/>
        </xdr:cNvSpPr>
      </xdr:nvSpPr>
      <xdr:spPr bwMode="auto">
        <a:xfrm>
          <a:off x="1057275" y="46196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22</xdr:row>
      <xdr:rowOff>0</xdr:rowOff>
    </xdr:from>
    <xdr:to>
      <xdr:col>1</xdr:col>
      <xdr:colOff>523875</xdr:colOff>
      <xdr:row>22</xdr:row>
      <xdr:rowOff>133350</xdr:rowOff>
    </xdr:to>
    <xdr:sp macro="" textlink="">
      <xdr:nvSpPr>
        <xdr:cNvPr id="10" name="Rectangle 9">
          <a:extLst>
            <a:ext uri="{FF2B5EF4-FFF2-40B4-BE49-F238E27FC236}">
              <a16:creationId xmlns:a16="http://schemas.microsoft.com/office/drawing/2014/main" id="{DA4236F9-9297-4423-9F51-8BB16CFBFD92}"/>
            </a:ext>
          </a:extLst>
        </xdr:cNvPr>
        <xdr:cNvSpPr>
          <a:spLocks noChangeArrowheads="1"/>
        </xdr:cNvSpPr>
      </xdr:nvSpPr>
      <xdr:spPr bwMode="auto">
        <a:xfrm>
          <a:off x="1057275" y="38100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18</xdr:row>
      <xdr:rowOff>0</xdr:rowOff>
    </xdr:from>
    <xdr:to>
      <xdr:col>1</xdr:col>
      <xdr:colOff>523875</xdr:colOff>
      <xdr:row>18</xdr:row>
      <xdr:rowOff>133350</xdr:rowOff>
    </xdr:to>
    <xdr:sp macro="" textlink="">
      <xdr:nvSpPr>
        <xdr:cNvPr id="11" name="Rectangle 10">
          <a:extLst>
            <a:ext uri="{FF2B5EF4-FFF2-40B4-BE49-F238E27FC236}">
              <a16:creationId xmlns:a16="http://schemas.microsoft.com/office/drawing/2014/main" id="{95312744-0488-4BCD-B1F4-6C9856EDCEB4}"/>
            </a:ext>
          </a:extLst>
        </xdr:cNvPr>
        <xdr:cNvSpPr>
          <a:spLocks noChangeArrowheads="1"/>
        </xdr:cNvSpPr>
      </xdr:nvSpPr>
      <xdr:spPr bwMode="auto">
        <a:xfrm>
          <a:off x="1057275" y="3162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14</xdr:row>
      <xdr:rowOff>0</xdr:rowOff>
    </xdr:from>
    <xdr:to>
      <xdr:col>1</xdr:col>
      <xdr:colOff>523875</xdr:colOff>
      <xdr:row>14</xdr:row>
      <xdr:rowOff>133350</xdr:rowOff>
    </xdr:to>
    <xdr:sp macro="" textlink="">
      <xdr:nvSpPr>
        <xdr:cNvPr id="12" name="Rectangle 11">
          <a:extLst>
            <a:ext uri="{FF2B5EF4-FFF2-40B4-BE49-F238E27FC236}">
              <a16:creationId xmlns:a16="http://schemas.microsoft.com/office/drawing/2014/main" id="{318F6960-D13C-4ABA-A2F5-61756E87FB4F}"/>
            </a:ext>
          </a:extLst>
        </xdr:cNvPr>
        <xdr:cNvSpPr>
          <a:spLocks noChangeArrowheads="1"/>
        </xdr:cNvSpPr>
      </xdr:nvSpPr>
      <xdr:spPr bwMode="auto">
        <a:xfrm>
          <a:off x="1057275" y="25146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13" name="Rectangle 12">
          <a:extLst>
            <a:ext uri="{FF2B5EF4-FFF2-40B4-BE49-F238E27FC236}">
              <a16:creationId xmlns:a16="http://schemas.microsoft.com/office/drawing/2014/main" id="{DB335E9C-58B3-464D-A163-0864BCCE8E6B}"/>
            </a:ext>
          </a:extLst>
        </xdr:cNvPr>
        <xdr:cNvSpPr>
          <a:spLocks noChangeArrowheads="1"/>
        </xdr:cNvSpPr>
      </xdr:nvSpPr>
      <xdr:spPr bwMode="auto">
        <a:xfrm>
          <a:off x="1057275" y="13811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400050</xdr:colOff>
      <xdr:row>33</xdr:row>
      <xdr:rowOff>9525</xdr:rowOff>
    </xdr:from>
    <xdr:to>
      <xdr:col>1</xdr:col>
      <xdr:colOff>533400</xdr:colOff>
      <xdr:row>33</xdr:row>
      <xdr:rowOff>142875</xdr:rowOff>
    </xdr:to>
    <xdr:sp macro="" textlink="">
      <xdr:nvSpPr>
        <xdr:cNvPr id="14" name="Rectangle 13">
          <a:extLst>
            <a:ext uri="{FF2B5EF4-FFF2-40B4-BE49-F238E27FC236}">
              <a16:creationId xmlns:a16="http://schemas.microsoft.com/office/drawing/2014/main" id="{0EF65E14-C26B-4FCA-A1F8-B164DA26BE90}"/>
            </a:ext>
          </a:extLst>
        </xdr:cNvPr>
        <xdr:cNvSpPr>
          <a:spLocks noChangeArrowheads="1"/>
        </xdr:cNvSpPr>
      </xdr:nvSpPr>
      <xdr:spPr bwMode="auto">
        <a:xfrm>
          <a:off x="1066800" y="5600700"/>
          <a:ext cx="133350" cy="133350"/>
        </a:xfrm>
        <a:prstGeom prst="rect">
          <a:avLst/>
        </a:prstGeom>
        <a:solidFill>
          <a:srgbClr val="333399"/>
        </a:solidFill>
        <a:ln w="9525">
          <a:solidFill>
            <a:srgbClr val="333399"/>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00%20DEC616%202019\4%20DATA%20MANAGEMENT\2018_Excel_Data_Management_Assignment_Comple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
      <sheetName val="Task 1-Contract Work"/>
      <sheetName val="Task 1- Complete"/>
      <sheetName val="Task 1- Complete (sort-filter)"/>
      <sheetName val="Tables"/>
      <sheetName val="Task 2-Total Pay Report"/>
      <sheetName val="Task 2-Total Pay Rpt V1"/>
      <sheetName val="Task 2-Tot Pay Rpt V2"/>
      <sheetName val="Task 3- Employee Name Report"/>
      <sheetName val="Task 3-Complete"/>
      <sheetName val="Task 4-Summarize Sales"/>
      <sheetName val="Task 4-Complete"/>
      <sheetName val="Task 5-Incomplete"/>
      <sheetName val="Task 5-Analyze Stock Returns "/>
      <sheetName val="Task 6- Outlining"/>
      <sheetName val="Task 6- Completed"/>
      <sheetName val="Task 7-Data Validation "/>
      <sheetName val="Task 7-Data Validation Complete"/>
      <sheetName val="Task 8-Pivot Tables"/>
      <sheetName val="Task 8-Complete"/>
      <sheetName val="Task 8 Pivot Tables"/>
      <sheetName val="Scoring Guide"/>
      <sheetName val="Sample data for Pivot Table"/>
    </sheetNames>
    <sheetDataSet>
      <sheetData sheetId="0"/>
      <sheetData sheetId="1"/>
      <sheetData sheetId="2"/>
      <sheetData sheetId="3"/>
      <sheetData sheetId="4">
        <row r="12">
          <cell r="C12" t="str">
            <v>W3</v>
          </cell>
        </row>
      </sheetData>
      <sheetData sheetId="5"/>
      <sheetData sheetId="6"/>
      <sheetData sheetId="7"/>
      <sheetData sheetId="8"/>
      <sheetData sheetId="9"/>
      <sheetData sheetId="10"/>
      <sheetData sheetId="11"/>
      <sheetData sheetId="12"/>
      <sheetData sheetId="13">
        <row r="11">
          <cell r="H11">
            <v>-30</v>
          </cell>
        </row>
        <row r="12">
          <cell r="H12">
            <v>-20</v>
          </cell>
        </row>
        <row r="13">
          <cell r="H13">
            <v>-10</v>
          </cell>
        </row>
        <row r="14">
          <cell r="H14">
            <v>0</v>
          </cell>
        </row>
        <row r="15">
          <cell r="H15">
            <v>10</v>
          </cell>
        </row>
        <row r="16">
          <cell r="H16">
            <v>20</v>
          </cell>
        </row>
      </sheetData>
      <sheetData sheetId="14"/>
      <sheetData sheetId="15"/>
      <sheetData sheetId="16"/>
      <sheetData sheetId="17">
        <row r="7">
          <cell r="J7">
            <v>10</v>
          </cell>
        </row>
        <row r="8">
          <cell r="J8">
            <v>20</v>
          </cell>
        </row>
        <row r="9">
          <cell r="J9">
            <v>30</v>
          </cell>
        </row>
        <row r="10">
          <cell r="J10">
            <v>40</v>
          </cell>
        </row>
        <row r="11">
          <cell r="J11">
            <v>50</v>
          </cell>
        </row>
        <row r="12">
          <cell r="J12">
            <v>60</v>
          </cell>
        </row>
        <row r="13">
          <cell r="J13">
            <v>70</v>
          </cell>
        </row>
        <row r="14">
          <cell r="J14">
            <v>80</v>
          </cell>
        </row>
        <row r="15">
          <cell r="J15">
            <v>90</v>
          </cell>
        </row>
        <row r="16">
          <cell r="J16">
            <v>100</v>
          </cell>
        </row>
      </sheetData>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62"/>
  </sheetPr>
  <dimension ref="B3:C31"/>
  <sheetViews>
    <sheetView showGridLines="0" workbookViewId="0">
      <selection activeCell="I19" sqref="I19"/>
    </sheetView>
  </sheetViews>
  <sheetFormatPr defaultColWidth="9" defaultRowHeight="15" x14ac:dyDescent="0.2"/>
  <cols>
    <col min="1" max="1" width="9" style="38"/>
    <col min="2" max="2" width="6.875" style="38" customWidth="1"/>
    <col min="3" max="16384" width="9" style="38"/>
  </cols>
  <sheetData>
    <row r="3" spans="2:3" ht="20.25" x14ac:dyDescent="0.3">
      <c r="B3" s="108" t="s">
        <v>196</v>
      </c>
    </row>
    <row r="4" spans="2:3" ht="20.25" x14ac:dyDescent="0.3">
      <c r="B4" s="108"/>
    </row>
    <row r="5" spans="2:3" ht="18" x14ac:dyDescent="0.25">
      <c r="B5" s="77"/>
    </row>
    <row r="6" spans="2:3" ht="18" x14ac:dyDescent="0.25">
      <c r="B6" s="37"/>
    </row>
    <row r="8" spans="2:3" ht="15.75" x14ac:dyDescent="0.25">
      <c r="B8" s="39" t="s">
        <v>79</v>
      </c>
    </row>
    <row r="9" spans="2:3" ht="15.75" x14ac:dyDescent="0.25">
      <c r="B9" s="39"/>
      <c r="C9" s="67" t="s">
        <v>174</v>
      </c>
    </row>
    <row r="10" spans="2:3" x14ac:dyDescent="0.2">
      <c r="C10" s="67" t="s">
        <v>179</v>
      </c>
    </row>
    <row r="11" spans="2:3" x14ac:dyDescent="0.2">
      <c r="C11" s="67" t="s">
        <v>194</v>
      </c>
    </row>
    <row r="12" spans="2:3" x14ac:dyDescent="0.2">
      <c r="C12" s="33" t="s">
        <v>180</v>
      </c>
    </row>
    <row r="13" spans="2:3" x14ac:dyDescent="0.2">
      <c r="C13" s="67" t="s">
        <v>181</v>
      </c>
    </row>
    <row r="14" spans="2:3" x14ac:dyDescent="0.2">
      <c r="C14" s="38" t="s">
        <v>182</v>
      </c>
    </row>
    <row r="15" spans="2:3" x14ac:dyDescent="0.2">
      <c r="C15" s="33" t="s">
        <v>183</v>
      </c>
    </row>
    <row r="16" spans="2:3" x14ac:dyDescent="0.2">
      <c r="C16" s="67" t="s">
        <v>184</v>
      </c>
    </row>
    <row r="17" spans="2:3" x14ac:dyDescent="0.2">
      <c r="C17" s="67" t="s">
        <v>195</v>
      </c>
    </row>
    <row r="18" spans="2:3" x14ac:dyDescent="0.2">
      <c r="C18" s="67"/>
    </row>
    <row r="19" spans="2:3" x14ac:dyDescent="0.2">
      <c r="C19" s="33"/>
    </row>
    <row r="20" spans="2:3" ht="15.75" x14ac:dyDescent="0.25">
      <c r="C20" s="68" t="s">
        <v>112</v>
      </c>
    </row>
    <row r="24" spans="2:3" x14ac:dyDescent="0.2">
      <c r="B24" s="40"/>
    </row>
    <row r="27" spans="2:3" x14ac:dyDescent="0.2">
      <c r="B27" s="114" t="s">
        <v>198</v>
      </c>
    </row>
    <row r="31" spans="2:3" x14ac:dyDescent="0.2">
      <c r="B31" s="113"/>
    </row>
  </sheetData>
  <phoneticPr fontId="0" type="noConversion"/>
  <pageMargins left="0.75" right="0.75" top="1" bottom="1" header="0.5" footer="0.5"/>
  <pageSetup orientation="portrait"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sheetPr>
  <dimension ref="A2:C13"/>
  <sheetViews>
    <sheetView showGridLines="0" workbookViewId="0">
      <selection activeCell="B7" sqref="B7"/>
    </sheetView>
  </sheetViews>
  <sheetFormatPr defaultColWidth="9" defaultRowHeight="18" x14ac:dyDescent="0.25"/>
  <cols>
    <col min="1" max="1" width="10.125" style="109" customWidth="1"/>
    <col min="2" max="2" width="9.625" style="109" customWidth="1"/>
    <col min="3" max="16384" width="9" style="109"/>
  </cols>
  <sheetData>
    <row r="2" spans="1:3" x14ac:dyDescent="0.25">
      <c r="B2" s="110" t="s">
        <v>167</v>
      </c>
    </row>
    <row r="3" spans="1:3" x14ac:dyDescent="0.25">
      <c r="B3" s="110" t="s">
        <v>168</v>
      </c>
    </row>
    <row r="4" spans="1:3" x14ac:dyDescent="0.25">
      <c r="A4" s="110"/>
    </row>
    <row r="6" spans="1:3" ht="18.75" thickBot="1" x14ac:dyDescent="0.3"/>
    <row r="7" spans="1:3" ht="23.25" customHeight="1" thickBot="1" x14ac:dyDescent="0.3">
      <c r="B7" s="111"/>
      <c r="C7" s="109" t="s">
        <v>169</v>
      </c>
    </row>
    <row r="8" spans="1:3" x14ac:dyDescent="0.25">
      <c r="C8" s="109" t="s">
        <v>170</v>
      </c>
    </row>
    <row r="10" spans="1:3" x14ac:dyDescent="0.25">
      <c r="C10" s="112" t="s">
        <v>171</v>
      </c>
    </row>
    <row r="11" spans="1:3" x14ac:dyDescent="0.25">
      <c r="C11" s="112" t="s">
        <v>172</v>
      </c>
    </row>
    <row r="13" spans="1:3" x14ac:dyDescent="0.25">
      <c r="C13" s="109" t="s">
        <v>173</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1048429"/>
  <sheetViews>
    <sheetView showGridLines="0" workbookViewId="0">
      <selection activeCell="E16" sqref="E16"/>
    </sheetView>
  </sheetViews>
  <sheetFormatPr defaultColWidth="9" defaultRowHeight="16.5" x14ac:dyDescent="0.3"/>
  <cols>
    <col min="1" max="1" width="3.875" style="3" customWidth="1"/>
    <col min="2" max="2" width="10.75" style="3" customWidth="1"/>
    <col min="3" max="3" width="10.125" style="3" customWidth="1"/>
    <col min="4" max="4" width="10.875" style="3" customWidth="1"/>
    <col min="5" max="5" width="12" style="3" bestFit="1" customWidth="1"/>
    <col min="6" max="6" width="11.125" style="3" customWidth="1"/>
    <col min="7" max="7" width="9.875" style="3" customWidth="1"/>
    <col min="8" max="8" width="10.625" style="3" customWidth="1"/>
    <col min="9" max="9" width="10.875" style="3" customWidth="1"/>
    <col min="10" max="10" width="11.125" style="3" customWidth="1"/>
    <col min="11" max="16384" width="9" style="3"/>
  </cols>
  <sheetData>
    <row r="2" spans="2:10" x14ac:dyDescent="0.3">
      <c r="B2" s="36" t="s">
        <v>199</v>
      </c>
    </row>
    <row r="3" spans="2:10" x14ac:dyDescent="0.3">
      <c r="B3" s="36" t="s">
        <v>187</v>
      </c>
    </row>
    <row r="4" spans="2:10" ht="21" x14ac:dyDescent="0.35">
      <c r="C4" s="16"/>
      <c r="D4" s="16"/>
    </row>
    <row r="5" spans="2:10" ht="18" x14ac:dyDescent="0.35">
      <c r="C5" s="13"/>
      <c r="D5" s="13"/>
      <c r="F5" s="17"/>
    </row>
    <row r="6" spans="2:10" ht="20.25" x14ac:dyDescent="0.3">
      <c r="B6" s="26" t="s">
        <v>163</v>
      </c>
    </row>
    <row r="7" spans="2:10" x14ac:dyDescent="0.3">
      <c r="B7" s="27" t="s">
        <v>110</v>
      </c>
    </row>
    <row r="9" spans="2:10" ht="35.25" customHeight="1" thickBot="1" x14ac:dyDescent="0.35">
      <c r="B9" s="142" t="s">
        <v>5</v>
      </c>
      <c r="C9" s="142" t="s">
        <v>48</v>
      </c>
      <c r="D9" s="142" t="s">
        <v>50</v>
      </c>
      <c r="E9" s="143" t="s">
        <v>0</v>
      </c>
      <c r="F9" s="143" t="s">
        <v>1</v>
      </c>
      <c r="G9" s="143" t="s">
        <v>2</v>
      </c>
      <c r="H9" s="142" t="s">
        <v>4</v>
      </c>
      <c r="I9" s="143" t="s">
        <v>49</v>
      </c>
      <c r="J9" s="142" t="s">
        <v>3</v>
      </c>
    </row>
    <row r="10" spans="2:10" x14ac:dyDescent="0.3">
      <c r="B10" s="24">
        <v>1</v>
      </c>
      <c r="C10" s="23" t="s">
        <v>53</v>
      </c>
      <c r="D10" s="23" t="s">
        <v>68</v>
      </c>
      <c r="E10" s="25">
        <v>44378</v>
      </c>
      <c r="F10" s="30">
        <v>0.375</v>
      </c>
      <c r="G10" s="30">
        <v>0.70833333333333337</v>
      </c>
      <c r="H10" s="31"/>
      <c r="I10" s="32"/>
      <c r="J10" s="55"/>
    </row>
    <row r="11" spans="2:10" x14ac:dyDescent="0.3">
      <c r="B11" s="24">
        <v>18</v>
      </c>
      <c r="C11" s="23" t="s">
        <v>55</v>
      </c>
      <c r="D11" s="23" t="s">
        <v>69</v>
      </c>
      <c r="E11" s="25">
        <v>44378</v>
      </c>
      <c r="F11" s="30">
        <v>0.45833333333333331</v>
      </c>
      <c r="G11" s="30">
        <v>0.70833333333333337</v>
      </c>
      <c r="H11" s="31"/>
      <c r="I11" s="32"/>
      <c r="J11" s="55"/>
    </row>
    <row r="12" spans="2:10" x14ac:dyDescent="0.3">
      <c r="B12" s="24">
        <v>40</v>
      </c>
      <c r="C12" s="23" t="s">
        <v>54</v>
      </c>
      <c r="D12" s="23" t="s">
        <v>73</v>
      </c>
      <c r="E12" s="25">
        <v>44379</v>
      </c>
      <c r="F12" s="30">
        <v>0.58333333333333337</v>
      </c>
      <c r="G12" s="30">
        <v>0.66666666666666663</v>
      </c>
      <c r="H12" s="31"/>
      <c r="I12" s="32"/>
      <c r="J12" s="55"/>
    </row>
    <row r="13" spans="2:10" x14ac:dyDescent="0.3">
      <c r="B13" s="24">
        <v>18</v>
      </c>
      <c r="C13" s="23" t="s">
        <v>55</v>
      </c>
      <c r="D13" s="23" t="s">
        <v>71</v>
      </c>
      <c r="E13" s="25">
        <v>44380</v>
      </c>
      <c r="F13" s="30">
        <v>0.375</v>
      </c>
      <c r="G13" s="30">
        <v>0.625</v>
      </c>
      <c r="H13" s="31"/>
      <c r="I13" s="32"/>
      <c r="J13" s="55"/>
    </row>
    <row r="14" spans="2:10" x14ac:dyDescent="0.3">
      <c r="B14" s="24">
        <v>18</v>
      </c>
      <c r="C14" s="23" t="s">
        <v>55</v>
      </c>
      <c r="D14" s="23" t="s">
        <v>67</v>
      </c>
      <c r="E14" s="25">
        <v>44381</v>
      </c>
      <c r="F14" s="30">
        <v>0.36458333333333331</v>
      </c>
      <c r="G14" s="30">
        <v>0.66666666666666663</v>
      </c>
      <c r="H14" s="31"/>
      <c r="I14" s="32"/>
      <c r="J14" s="55"/>
    </row>
    <row r="15" spans="2:10" x14ac:dyDescent="0.3">
      <c r="B15" s="24">
        <v>2</v>
      </c>
      <c r="C15" s="23" t="s">
        <v>54</v>
      </c>
      <c r="D15" s="23" t="s">
        <v>76</v>
      </c>
      <c r="E15" s="25">
        <v>44384</v>
      </c>
      <c r="F15" s="30">
        <v>0.35416666666666669</v>
      </c>
      <c r="G15" s="30">
        <v>0.6875</v>
      </c>
      <c r="H15" s="31"/>
      <c r="I15" s="32"/>
      <c r="J15" s="55"/>
    </row>
    <row r="16" spans="2:10" x14ac:dyDescent="0.3">
      <c r="B16" s="24">
        <v>3</v>
      </c>
      <c r="C16" s="23" t="s">
        <v>55</v>
      </c>
      <c r="D16" s="23" t="s">
        <v>70</v>
      </c>
      <c r="E16" s="25">
        <v>44384</v>
      </c>
      <c r="F16" s="30">
        <v>0.35416666666666702</v>
      </c>
      <c r="G16" s="30">
        <v>0.6875</v>
      </c>
      <c r="H16" s="31"/>
      <c r="I16" s="32"/>
      <c r="J16" s="55"/>
    </row>
    <row r="17" spans="2:10" x14ac:dyDescent="0.3">
      <c r="B17" s="24">
        <v>2</v>
      </c>
      <c r="C17" s="23" t="s">
        <v>54</v>
      </c>
      <c r="D17" s="23" t="s">
        <v>74</v>
      </c>
      <c r="E17" s="25">
        <v>44383</v>
      </c>
      <c r="F17" s="30">
        <v>0.35416666666666669</v>
      </c>
      <c r="G17" s="30">
        <v>0.6875</v>
      </c>
      <c r="H17" s="31"/>
      <c r="I17" s="32"/>
      <c r="J17" s="55"/>
    </row>
    <row r="18" spans="2:10" x14ac:dyDescent="0.3">
      <c r="B18" s="24">
        <v>17</v>
      </c>
      <c r="C18" s="23" t="s">
        <v>54</v>
      </c>
      <c r="D18" s="23" t="s">
        <v>76</v>
      </c>
      <c r="E18" s="25">
        <v>44383</v>
      </c>
      <c r="F18" s="30">
        <v>0.35416666666666669</v>
      </c>
      <c r="G18" s="30">
        <v>0.58333333333333337</v>
      </c>
      <c r="H18" s="31"/>
      <c r="I18" s="32"/>
      <c r="J18" s="55"/>
    </row>
    <row r="19" spans="2:10" x14ac:dyDescent="0.3">
      <c r="B19" s="24">
        <v>3</v>
      </c>
      <c r="C19" s="23" t="s">
        <v>55</v>
      </c>
      <c r="D19" s="23" t="s">
        <v>72</v>
      </c>
      <c r="E19" s="25">
        <v>44383</v>
      </c>
      <c r="F19" s="30">
        <v>0.35416666666666702</v>
      </c>
      <c r="G19" s="30">
        <v>0.6875</v>
      </c>
      <c r="H19" s="31"/>
      <c r="I19" s="32"/>
      <c r="J19" s="55"/>
    </row>
    <row r="20" spans="2:10" x14ac:dyDescent="0.3">
      <c r="B20" s="24">
        <v>17</v>
      </c>
      <c r="C20" s="23" t="s">
        <v>54</v>
      </c>
      <c r="D20" s="23" t="s">
        <v>74</v>
      </c>
      <c r="E20" s="25">
        <v>44384</v>
      </c>
      <c r="F20" s="30">
        <v>0.35416666666666702</v>
      </c>
      <c r="G20" s="30">
        <v>0.61458333333333337</v>
      </c>
      <c r="H20" s="31"/>
      <c r="I20" s="32"/>
      <c r="J20" s="55"/>
    </row>
    <row r="21" spans="2:10" x14ac:dyDescent="0.3">
      <c r="B21" s="24">
        <v>18</v>
      </c>
      <c r="C21" s="23" t="s">
        <v>55</v>
      </c>
      <c r="D21" s="23" t="s">
        <v>70</v>
      </c>
      <c r="E21" s="25">
        <v>44384</v>
      </c>
      <c r="F21" s="30">
        <v>0.4375</v>
      </c>
      <c r="G21" s="30">
        <v>0.75</v>
      </c>
      <c r="H21" s="31"/>
      <c r="I21" s="32"/>
      <c r="J21" s="55"/>
    </row>
    <row r="22" spans="2:10" x14ac:dyDescent="0.3">
      <c r="B22" s="24">
        <v>17</v>
      </c>
      <c r="C22" s="23" t="s">
        <v>54</v>
      </c>
      <c r="D22" s="23" t="s">
        <v>70</v>
      </c>
      <c r="E22" s="25">
        <v>44385</v>
      </c>
      <c r="F22" s="30">
        <v>0.35416666666666702</v>
      </c>
      <c r="G22" s="30">
        <v>0.61458333333333337</v>
      </c>
      <c r="H22" s="31"/>
      <c r="I22" s="32"/>
      <c r="J22" s="55"/>
    </row>
    <row r="23" spans="2:10" x14ac:dyDescent="0.3">
      <c r="B23" s="24">
        <v>17</v>
      </c>
      <c r="C23" s="23" t="s">
        <v>54</v>
      </c>
      <c r="D23" s="23" t="s">
        <v>72</v>
      </c>
      <c r="E23" s="25">
        <v>44386</v>
      </c>
      <c r="F23" s="30">
        <v>0.35416666666666702</v>
      </c>
      <c r="G23" s="30">
        <v>0.625</v>
      </c>
      <c r="H23" s="31"/>
      <c r="I23" s="32"/>
      <c r="J23" s="55"/>
    </row>
    <row r="24" spans="2:10" x14ac:dyDescent="0.3">
      <c r="B24" s="24">
        <v>5</v>
      </c>
      <c r="C24" s="23" t="s">
        <v>53</v>
      </c>
      <c r="D24" s="23" t="s">
        <v>70</v>
      </c>
      <c r="E24" s="25">
        <v>44387</v>
      </c>
      <c r="F24" s="30">
        <v>0.4375</v>
      </c>
      <c r="G24" s="30">
        <v>0.75</v>
      </c>
      <c r="H24" s="31"/>
      <c r="I24" s="32"/>
      <c r="J24" s="55"/>
    </row>
    <row r="25" spans="2:10" x14ac:dyDescent="0.3">
      <c r="B25" s="24">
        <v>17</v>
      </c>
      <c r="C25" s="23" t="s">
        <v>54</v>
      </c>
      <c r="D25" s="23" t="s">
        <v>75</v>
      </c>
      <c r="E25" s="25">
        <v>44387</v>
      </c>
      <c r="F25" s="30">
        <v>0.35416666666666702</v>
      </c>
      <c r="G25" s="30">
        <v>0.70833333333333337</v>
      </c>
      <c r="H25" s="31"/>
      <c r="I25" s="32"/>
      <c r="J25" s="55"/>
    </row>
    <row r="26" spans="2:10" x14ac:dyDescent="0.3">
      <c r="B26" s="24">
        <v>35</v>
      </c>
      <c r="C26" s="23" t="s">
        <v>54</v>
      </c>
      <c r="D26" s="23" t="s">
        <v>72</v>
      </c>
      <c r="E26" s="25">
        <v>44387</v>
      </c>
      <c r="F26" s="30">
        <v>0.375</v>
      </c>
      <c r="G26" s="30">
        <v>0.66666666666666663</v>
      </c>
      <c r="H26" s="31"/>
      <c r="I26" s="32"/>
      <c r="J26" s="55"/>
    </row>
    <row r="27" spans="2:10" x14ac:dyDescent="0.3">
      <c r="B27" s="24">
        <v>5</v>
      </c>
      <c r="C27" s="23" t="s">
        <v>53</v>
      </c>
      <c r="D27" s="23" t="s">
        <v>72</v>
      </c>
      <c r="E27" s="25">
        <v>44388</v>
      </c>
      <c r="F27" s="30">
        <v>0.35416666666666669</v>
      </c>
      <c r="G27" s="30">
        <v>0.70833333333333337</v>
      </c>
      <c r="H27" s="31"/>
      <c r="I27" s="32"/>
      <c r="J27" s="55"/>
    </row>
    <row r="28" spans="2:10" x14ac:dyDescent="0.3">
      <c r="B28" s="24">
        <v>8</v>
      </c>
      <c r="C28" s="23" t="s">
        <v>54</v>
      </c>
      <c r="D28" s="23" t="s">
        <v>67</v>
      </c>
      <c r="E28" s="25">
        <v>44388</v>
      </c>
      <c r="F28" s="30">
        <v>0.54166666666666663</v>
      </c>
      <c r="G28" s="30">
        <v>0.70833333333333337</v>
      </c>
      <c r="H28" s="31"/>
      <c r="I28" s="32"/>
      <c r="J28" s="55"/>
    </row>
    <row r="29" spans="2:10" x14ac:dyDescent="0.3">
      <c r="B29" s="24">
        <v>7</v>
      </c>
      <c r="C29" s="23" t="s">
        <v>54</v>
      </c>
      <c r="D29" s="23" t="s">
        <v>69</v>
      </c>
      <c r="E29" s="25">
        <v>44388</v>
      </c>
      <c r="F29" s="30">
        <v>0.35416666666666702</v>
      </c>
      <c r="G29" s="30">
        <v>0.58333333333333337</v>
      </c>
      <c r="H29" s="31"/>
      <c r="I29" s="32"/>
      <c r="J29" s="55"/>
    </row>
    <row r="30" spans="2:10" x14ac:dyDescent="0.3">
      <c r="B30" s="24">
        <v>17</v>
      </c>
      <c r="C30" s="23" t="s">
        <v>54</v>
      </c>
      <c r="D30" s="23" t="s">
        <v>73</v>
      </c>
      <c r="E30" s="25">
        <v>44388</v>
      </c>
      <c r="F30" s="30">
        <v>0.35416666666666702</v>
      </c>
      <c r="G30" s="30">
        <v>0.61458333333333337</v>
      </c>
      <c r="H30" s="31"/>
      <c r="I30" s="32"/>
      <c r="J30" s="55"/>
    </row>
    <row r="31" spans="2:10" x14ac:dyDescent="0.3">
      <c r="B31" s="24">
        <v>11</v>
      </c>
      <c r="C31" s="23" t="s">
        <v>53</v>
      </c>
      <c r="D31" s="23" t="s">
        <v>73</v>
      </c>
      <c r="E31" s="25">
        <v>44389</v>
      </c>
      <c r="F31" s="30">
        <v>0.33333333333333331</v>
      </c>
      <c r="G31" s="30">
        <v>0.5</v>
      </c>
      <c r="H31" s="31"/>
      <c r="I31" s="32"/>
      <c r="J31" s="55"/>
    </row>
    <row r="32" spans="2:10" x14ac:dyDescent="0.3">
      <c r="B32" s="24">
        <v>34</v>
      </c>
      <c r="C32" s="23" t="s">
        <v>53</v>
      </c>
      <c r="D32" s="23" t="s">
        <v>73</v>
      </c>
      <c r="E32" s="25">
        <v>44389</v>
      </c>
      <c r="F32" s="30">
        <v>0.25</v>
      </c>
      <c r="G32" s="30">
        <v>0.75</v>
      </c>
      <c r="H32" s="31"/>
      <c r="I32" s="32"/>
      <c r="J32" s="55"/>
    </row>
    <row r="33" spans="2:10" x14ac:dyDescent="0.3">
      <c r="B33" s="24">
        <v>35</v>
      </c>
      <c r="C33" s="23" t="s">
        <v>54</v>
      </c>
      <c r="D33" s="23" t="s">
        <v>75</v>
      </c>
      <c r="E33" s="25">
        <v>44389</v>
      </c>
      <c r="F33" s="30">
        <v>0.375</v>
      </c>
      <c r="G33" s="30">
        <v>0.5</v>
      </c>
      <c r="H33" s="31"/>
      <c r="I33" s="32"/>
      <c r="J33" s="55"/>
    </row>
    <row r="34" spans="2:10" x14ac:dyDescent="0.3">
      <c r="B34" s="24">
        <v>8</v>
      </c>
      <c r="C34" s="23" t="s">
        <v>54</v>
      </c>
      <c r="D34" s="23" t="s">
        <v>69</v>
      </c>
      <c r="E34" s="25">
        <v>44389</v>
      </c>
      <c r="F34" s="30">
        <v>0.375</v>
      </c>
      <c r="G34" s="30">
        <v>0.73958333333333337</v>
      </c>
      <c r="H34" s="31"/>
      <c r="I34" s="32"/>
      <c r="J34" s="55"/>
    </row>
    <row r="35" spans="2:10" x14ac:dyDescent="0.3">
      <c r="B35" s="24">
        <v>7</v>
      </c>
      <c r="C35" s="23" t="s">
        <v>54</v>
      </c>
      <c r="D35" s="23" t="s">
        <v>71</v>
      </c>
      <c r="E35" s="25">
        <v>44389</v>
      </c>
      <c r="F35" s="30">
        <v>0.35416666666666702</v>
      </c>
      <c r="G35" s="30">
        <v>0.61458333333333337</v>
      </c>
      <c r="H35" s="31"/>
      <c r="I35" s="32"/>
      <c r="J35" s="55"/>
    </row>
    <row r="36" spans="2:10" x14ac:dyDescent="0.3">
      <c r="B36" s="24">
        <v>4</v>
      </c>
      <c r="C36" s="23" t="s">
        <v>55</v>
      </c>
      <c r="D36" s="23" t="s">
        <v>75</v>
      </c>
      <c r="E36" s="25">
        <v>44389</v>
      </c>
      <c r="F36" s="30">
        <v>0.35416666666666702</v>
      </c>
      <c r="G36" s="30">
        <v>0.6875</v>
      </c>
      <c r="H36" s="31"/>
      <c r="I36" s="32"/>
      <c r="J36" s="55"/>
    </row>
    <row r="37" spans="2:10" x14ac:dyDescent="0.3">
      <c r="B37" s="24">
        <v>14</v>
      </c>
      <c r="C37" s="23" t="s">
        <v>55</v>
      </c>
      <c r="D37" s="23" t="s">
        <v>72</v>
      </c>
      <c r="E37" s="25">
        <v>44389</v>
      </c>
      <c r="F37" s="30">
        <v>0.35416666666666702</v>
      </c>
      <c r="G37" s="30">
        <v>0.75</v>
      </c>
      <c r="H37" s="31"/>
      <c r="I37" s="32"/>
      <c r="J37" s="55"/>
    </row>
    <row r="38" spans="2:10" x14ac:dyDescent="0.3">
      <c r="B38" s="24">
        <v>18</v>
      </c>
      <c r="C38" s="23" t="s">
        <v>55</v>
      </c>
      <c r="D38" s="23" t="s">
        <v>72</v>
      </c>
      <c r="E38" s="25">
        <v>44389</v>
      </c>
      <c r="F38" s="30">
        <v>0.35416666666666702</v>
      </c>
      <c r="G38" s="30">
        <v>0.625</v>
      </c>
      <c r="H38" s="31"/>
      <c r="I38" s="32"/>
      <c r="J38" s="55"/>
    </row>
    <row r="39" spans="2:10" x14ac:dyDescent="0.3">
      <c r="B39" s="24">
        <v>34</v>
      </c>
      <c r="C39" s="23" t="s">
        <v>53</v>
      </c>
      <c r="D39" s="23" t="s">
        <v>69</v>
      </c>
      <c r="E39" s="25">
        <v>44390</v>
      </c>
      <c r="F39" s="30">
        <v>0.25</v>
      </c>
      <c r="G39" s="30">
        <v>0.75</v>
      </c>
      <c r="H39" s="31"/>
      <c r="I39" s="32"/>
      <c r="J39" s="55"/>
    </row>
    <row r="40" spans="2:10" x14ac:dyDescent="0.3">
      <c r="B40" s="24">
        <v>14</v>
      </c>
      <c r="C40" s="23" t="s">
        <v>55</v>
      </c>
      <c r="D40" s="23" t="s">
        <v>75</v>
      </c>
      <c r="E40" s="25">
        <v>44390</v>
      </c>
      <c r="F40" s="30">
        <v>0.35416666666666702</v>
      </c>
      <c r="G40" s="30">
        <v>0.83333333333333337</v>
      </c>
      <c r="H40" s="31"/>
      <c r="I40" s="32"/>
      <c r="J40" s="55"/>
    </row>
    <row r="41" spans="2:10" x14ac:dyDescent="0.3">
      <c r="B41" s="24">
        <v>4</v>
      </c>
      <c r="C41" s="23" t="s">
        <v>55</v>
      </c>
      <c r="D41" s="23" t="s">
        <v>73</v>
      </c>
      <c r="E41" s="25">
        <v>44390</v>
      </c>
      <c r="F41" s="30">
        <v>0.35416666666666702</v>
      </c>
      <c r="G41" s="30">
        <v>0.70833333333333337</v>
      </c>
      <c r="H41" s="31"/>
      <c r="I41" s="32"/>
      <c r="J41" s="55"/>
    </row>
    <row r="42" spans="2:10" x14ac:dyDescent="0.3">
      <c r="B42" s="24">
        <v>15</v>
      </c>
      <c r="C42" s="23" t="s">
        <v>53</v>
      </c>
      <c r="D42" s="23" t="s">
        <v>75</v>
      </c>
      <c r="E42" s="25">
        <v>44391</v>
      </c>
      <c r="F42" s="30">
        <v>0.35416666666666702</v>
      </c>
      <c r="G42" s="30">
        <v>0.75</v>
      </c>
      <c r="H42" s="31"/>
      <c r="I42" s="32"/>
      <c r="J42" s="55"/>
    </row>
    <row r="43" spans="2:10" x14ac:dyDescent="0.3">
      <c r="B43" s="24">
        <v>11</v>
      </c>
      <c r="C43" s="23" t="s">
        <v>53</v>
      </c>
      <c r="D43" s="23" t="s">
        <v>69</v>
      </c>
      <c r="E43" s="25">
        <v>44391</v>
      </c>
      <c r="F43" s="30">
        <v>0.375</v>
      </c>
      <c r="G43" s="30">
        <v>0.75</v>
      </c>
      <c r="H43" s="31"/>
      <c r="I43" s="32"/>
      <c r="J43" s="55"/>
    </row>
    <row r="44" spans="2:10" x14ac:dyDescent="0.3">
      <c r="B44" s="24">
        <v>34</v>
      </c>
      <c r="C44" s="23" t="s">
        <v>53</v>
      </c>
      <c r="D44" s="23" t="s">
        <v>71</v>
      </c>
      <c r="E44" s="25">
        <v>44391</v>
      </c>
      <c r="F44" s="30">
        <v>0.25</v>
      </c>
      <c r="G44" s="30">
        <v>0.79166666666666663</v>
      </c>
      <c r="H44" s="31"/>
      <c r="I44" s="32"/>
      <c r="J44" s="55"/>
    </row>
    <row r="45" spans="2:10" x14ac:dyDescent="0.3">
      <c r="B45" s="24">
        <v>19</v>
      </c>
      <c r="C45" s="23" t="s">
        <v>54</v>
      </c>
      <c r="D45" s="23" t="s">
        <v>75</v>
      </c>
      <c r="E45" s="25">
        <v>44391</v>
      </c>
      <c r="F45" s="30">
        <v>0.35416666666666702</v>
      </c>
      <c r="G45" s="30">
        <v>0.64583333333333337</v>
      </c>
      <c r="H45" s="31"/>
      <c r="I45" s="32"/>
      <c r="J45" s="55"/>
    </row>
    <row r="46" spans="2:10" x14ac:dyDescent="0.3">
      <c r="B46" s="24">
        <v>36</v>
      </c>
      <c r="C46" s="23" t="s">
        <v>54</v>
      </c>
      <c r="D46" s="23" t="s">
        <v>73</v>
      </c>
      <c r="E46" s="25">
        <v>44391</v>
      </c>
      <c r="F46" s="30">
        <v>0.41666666666666669</v>
      </c>
      <c r="G46" s="30">
        <v>0.58333333333333337</v>
      </c>
      <c r="H46" s="31"/>
      <c r="I46" s="32"/>
      <c r="J46" s="55"/>
    </row>
    <row r="47" spans="2:10" x14ac:dyDescent="0.3">
      <c r="B47" s="24">
        <v>4</v>
      </c>
      <c r="C47" s="23" t="s">
        <v>55</v>
      </c>
      <c r="D47" s="23" t="s">
        <v>68</v>
      </c>
      <c r="E47" s="25">
        <v>44391</v>
      </c>
      <c r="F47" s="30">
        <v>0.35416666666666702</v>
      </c>
      <c r="G47" s="30">
        <v>0.70833333333333337</v>
      </c>
      <c r="H47" s="31"/>
      <c r="I47" s="32"/>
      <c r="J47" s="55"/>
    </row>
    <row r="48" spans="2:10" x14ac:dyDescent="0.3">
      <c r="B48" s="24">
        <v>11</v>
      </c>
      <c r="C48" s="23" t="s">
        <v>53</v>
      </c>
      <c r="D48" s="23" t="s">
        <v>74</v>
      </c>
      <c r="E48" s="25">
        <v>44394</v>
      </c>
      <c r="F48" s="30">
        <v>0.36458333333333331</v>
      </c>
      <c r="G48" s="30">
        <v>0.70833333333333337</v>
      </c>
      <c r="H48" s="31"/>
      <c r="I48" s="32"/>
      <c r="J48" s="55"/>
    </row>
    <row r="49" spans="2:10" x14ac:dyDescent="0.3">
      <c r="B49" s="24">
        <v>9</v>
      </c>
      <c r="C49" s="23" t="s">
        <v>53</v>
      </c>
      <c r="D49" s="23" t="s">
        <v>71</v>
      </c>
      <c r="E49" s="25">
        <v>44394</v>
      </c>
      <c r="F49" s="30">
        <v>0.41666666666666669</v>
      </c>
      <c r="G49" s="30">
        <v>0.75</v>
      </c>
      <c r="H49" s="31"/>
      <c r="I49" s="32"/>
      <c r="J49" s="55"/>
    </row>
    <row r="50" spans="2:10" x14ac:dyDescent="0.3">
      <c r="B50" s="24">
        <v>15</v>
      </c>
      <c r="C50" s="23" t="s">
        <v>53</v>
      </c>
      <c r="D50" s="23" t="s">
        <v>73</v>
      </c>
      <c r="E50" s="25">
        <v>44394</v>
      </c>
      <c r="F50" s="30">
        <v>0.54166666666666663</v>
      </c>
      <c r="G50" s="30">
        <v>0.79166666666666663</v>
      </c>
      <c r="H50" s="31"/>
      <c r="I50" s="32"/>
      <c r="J50" s="55"/>
    </row>
    <row r="51" spans="2:10" x14ac:dyDescent="0.3">
      <c r="B51" s="24">
        <v>36</v>
      </c>
      <c r="C51" s="23" t="s">
        <v>54</v>
      </c>
      <c r="D51" s="23" t="s">
        <v>69</v>
      </c>
      <c r="E51" s="25">
        <v>44394</v>
      </c>
      <c r="F51" s="30">
        <v>0.35416666666666669</v>
      </c>
      <c r="G51" s="30">
        <v>0.66666666666666663</v>
      </c>
      <c r="H51" s="31"/>
      <c r="I51" s="32"/>
      <c r="J51" s="55"/>
    </row>
    <row r="52" spans="2:10" x14ac:dyDescent="0.3">
      <c r="B52" s="24">
        <v>13</v>
      </c>
      <c r="C52" s="23" t="s">
        <v>54</v>
      </c>
      <c r="D52" s="23" t="s">
        <v>70</v>
      </c>
      <c r="E52" s="25">
        <v>44394</v>
      </c>
      <c r="F52" s="30">
        <v>0.35416666666666669</v>
      </c>
      <c r="G52" s="30">
        <v>0.73958333333333337</v>
      </c>
      <c r="H52" s="31"/>
      <c r="I52" s="32"/>
      <c r="J52" s="55"/>
    </row>
    <row r="53" spans="2:10" x14ac:dyDescent="0.3">
      <c r="B53" s="24">
        <v>19</v>
      </c>
      <c r="C53" s="23" t="s">
        <v>54</v>
      </c>
      <c r="D53" s="23" t="s">
        <v>73</v>
      </c>
      <c r="E53" s="25">
        <v>44394</v>
      </c>
      <c r="F53" s="30">
        <v>0.54166666666666663</v>
      </c>
      <c r="G53" s="30">
        <v>0.625</v>
      </c>
      <c r="H53" s="31"/>
      <c r="I53" s="32"/>
      <c r="J53" s="55"/>
    </row>
    <row r="54" spans="2:10" x14ac:dyDescent="0.3">
      <c r="B54" s="24">
        <v>4</v>
      </c>
      <c r="C54" s="23" t="s">
        <v>55</v>
      </c>
      <c r="D54" s="23" t="s">
        <v>76</v>
      </c>
      <c r="E54" s="25">
        <v>44394</v>
      </c>
      <c r="F54" s="30">
        <v>0.45833333333333331</v>
      </c>
      <c r="G54" s="30">
        <v>0.6875</v>
      </c>
      <c r="H54" s="31"/>
      <c r="I54" s="32"/>
      <c r="J54" s="55"/>
    </row>
    <row r="55" spans="2:10" x14ac:dyDescent="0.3">
      <c r="B55" s="24">
        <v>6</v>
      </c>
      <c r="C55" s="23" t="s">
        <v>55</v>
      </c>
      <c r="D55" s="23" t="s">
        <v>75</v>
      </c>
      <c r="E55" s="25">
        <v>44394</v>
      </c>
      <c r="F55" s="30">
        <v>0.35416666666666669</v>
      </c>
      <c r="G55" s="30">
        <v>0.72916666666666663</v>
      </c>
      <c r="H55" s="31"/>
      <c r="I55" s="32"/>
      <c r="J55" s="55"/>
    </row>
    <row r="56" spans="2:10" x14ac:dyDescent="0.3">
      <c r="B56" s="24">
        <v>14</v>
      </c>
      <c r="C56" s="23" t="s">
        <v>55</v>
      </c>
      <c r="D56" s="23" t="s">
        <v>73</v>
      </c>
      <c r="E56" s="25">
        <v>44394</v>
      </c>
      <c r="F56" s="30">
        <v>0.375</v>
      </c>
      <c r="G56" s="30">
        <v>0.70833333333333337</v>
      </c>
      <c r="H56" s="31"/>
      <c r="I56" s="32"/>
      <c r="J56" s="55"/>
    </row>
    <row r="57" spans="2:10" x14ac:dyDescent="0.3">
      <c r="B57" s="24">
        <v>9</v>
      </c>
      <c r="C57" s="23" t="s">
        <v>53</v>
      </c>
      <c r="D57" s="23" t="s">
        <v>70</v>
      </c>
      <c r="E57" s="25">
        <v>44393</v>
      </c>
      <c r="F57" s="30">
        <v>0.35416666666666669</v>
      </c>
      <c r="G57" s="30">
        <v>0.625</v>
      </c>
      <c r="H57" s="31"/>
      <c r="I57" s="32"/>
      <c r="J57" s="55"/>
    </row>
    <row r="58" spans="2:10" x14ac:dyDescent="0.3">
      <c r="B58" s="24">
        <v>31</v>
      </c>
      <c r="C58" s="23" t="s">
        <v>54</v>
      </c>
      <c r="D58" s="23" t="s">
        <v>72</v>
      </c>
      <c r="E58" s="25">
        <v>44393</v>
      </c>
      <c r="F58" s="30">
        <v>0.375</v>
      </c>
      <c r="G58" s="30">
        <v>0.6875</v>
      </c>
      <c r="H58" s="31"/>
      <c r="I58" s="32"/>
      <c r="J58" s="55"/>
    </row>
    <row r="59" spans="2:10" x14ac:dyDescent="0.3">
      <c r="B59" s="24">
        <v>31</v>
      </c>
      <c r="C59" s="23" t="s">
        <v>54</v>
      </c>
      <c r="D59" s="23" t="s">
        <v>75</v>
      </c>
      <c r="E59" s="25">
        <v>44394</v>
      </c>
      <c r="F59" s="30">
        <v>0.41666666666666669</v>
      </c>
      <c r="G59" s="30">
        <v>0.73958333333333337</v>
      </c>
      <c r="H59" s="31"/>
      <c r="I59" s="32"/>
      <c r="J59" s="55"/>
    </row>
    <row r="60" spans="2:10" x14ac:dyDescent="0.3">
      <c r="B60" s="24">
        <v>4</v>
      </c>
      <c r="C60" s="23" t="s">
        <v>55</v>
      </c>
      <c r="D60" s="23" t="s">
        <v>74</v>
      </c>
      <c r="E60" s="25">
        <v>44394</v>
      </c>
      <c r="F60" s="30">
        <v>0.35416666666666702</v>
      </c>
      <c r="G60" s="30">
        <v>0.75</v>
      </c>
      <c r="H60" s="31"/>
      <c r="I60" s="32"/>
      <c r="J60" s="55"/>
    </row>
    <row r="61" spans="2:10" x14ac:dyDescent="0.3">
      <c r="B61" s="24">
        <v>6</v>
      </c>
      <c r="C61" s="23" t="s">
        <v>55</v>
      </c>
      <c r="D61" s="23" t="s">
        <v>73</v>
      </c>
      <c r="E61" s="25">
        <v>44394</v>
      </c>
      <c r="F61" s="30">
        <v>0.35416666666666702</v>
      </c>
      <c r="G61" s="30">
        <v>0.75</v>
      </c>
      <c r="H61" s="31"/>
      <c r="I61" s="32"/>
      <c r="J61" s="55"/>
    </row>
    <row r="62" spans="2:10" x14ac:dyDescent="0.3">
      <c r="B62" s="24">
        <v>37</v>
      </c>
      <c r="C62" s="23" t="s">
        <v>53</v>
      </c>
      <c r="D62" s="23" t="s">
        <v>68</v>
      </c>
      <c r="E62" s="25">
        <v>44395</v>
      </c>
      <c r="F62" s="30">
        <v>0.35416666666666702</v>
      </c>
      <c r="G62" s="30">
        <v>0.6875</v>
      </c>
      <c r="H62" s="31"/>
      <c r="I62" s="32"/>
      <c r="J62" s="55"/>
    </row>
    <row r="63" spans="2:10" x14ac:dyDescent="0.3">
      <c r="B63" s="24">
        <v>16</v>
      </c>
      <c r="C63" s="23" t="s">
        <v>53</v>
      </c>
      <c r="D63" s="23" t="s">
        <v>69</v>
      </c>
      <c r="E63" s="25">
        <v>44395</v>
      </c>
      <c r="F63" s="30">
        <v>0.375</v>
      </c>
      <c r="G63" s="30">
        <v>0.66666666666666663</v>
      </c>
      <c r="H63" s="31"/>
      <c r="I63" s="32"/>
      <c r="J63" s="55"/>
    </row>
    <row r="64" spans="2:10" x14ac:dyDescent="0.3">
      <c r="B64" s="24">
        <v>29</v>
      </c>
      <c r="C64" s="23" t="s">
        <v>53</v>
      </c>
      <c r="D64" s="23" t="s">
        <v>69</v>
      </c>
      <c r="E64" s="25">
        <v>44395</v>
      </c>
      <c r="F64" s="30">
        <v>0.36458333333333331</v>
      </c>
      <c r="G64" s="30">
        <v>0.66666666666666663</v>
      </c>
      <c r="H64" s="31"/>
      <c r="I64" s="32"/>
      <c r="J64" s="55"/>
    </row>
    <row r="65" spans="2:10" x14ac:dyDescent="0.3">
      <c r="B65" s="24">
        <v>11</v>
      </c>
      <c r="C65" s="23" t="s">
        <v>53</v>
      </c>
      <c r="D65" s="23" t="s">
        <v>70</v>
      </c>
      <c r="E65" s="25">
        <v>44395</v>
      </c>
      <c r="F65" s="30">
        <v>0.29166666666666669</v>
      </c>
      <c r="G65" s="30">
        <v>0.70833333333333337</v>
      </c>
      <c r="H65" s="31"/>
      <c r="I65" s="32"/>
      <c r="J65" s="55"/>
    </row>
    <row r="66" spans="2:10" x14ac:dyDescent="0.3">
      <c r="B66" s="24">
        <v>36</v>
      </c>
      <c r="C66" s="23" t="s">
        <v>54</v>
      </c>
      <c r="D66" s="23" t="s">
        <v>75</v>
      </c>
      <c r="E66" s="25">
        <v>44395</v>
      </c>
      <c r="F66" s="30">
        <v>0.33333333333333331</v>
      </c>
      <c r="G66" s="30">
        <v>0.70833333333333337</v>
      </c>
      <c r="H66" s="31"/>
      <c r="I66" s="32"/>
      <c r="J66" s="55"/>
    </row>
    <row r="67" spans="2:10" x14ac:dyDescent="0.3">
      <c r="B67" s="24">
        <v>22</v>
      </c>
      <c r="C67" s="23" t="s">
        <v>54</v>
      </c>
      <c r="D67" s="23" t="s">
        <v>69</v>
      </c>
      <c r="E67" s="25">
        <v>44395</v>
      </c>
      <c r="F67" s="30">
        <v>0.5</v>
      </c>
      <c r="G67" s="30">
        <v>0.875</v>
      </c>
      <c r="H67" s="31"/>
      <c r="I67" s="32"/>
      <c r="J67" s="55"/>
    </row>
    <row r="68" spans="2:10" x14ac:dyDescent="0.3">
      <c r="B68" s="24">
        <v>40</v>
      </c>
      <c r="C68" s="23" t="s">
        <v>54</v>
      </c>
      <c r="D68" s="23" t="s">
        <v>69</v>
      </c>
      <c r="E68" s="25">
        <v>44395</v>
      </c>
      <c r="F68" s="30">
        <v>0.33333333333333331</v>
      </c>
      <c r="G68" s="30">
        <v>0.5</v>
      </c>
      <c r="H68" s="31"/>
      <c r="I68" s="32"/>
      <c r="J68" s="55"/>
    </row>
    <row r="69" spans="2:10" x14ac:dyDescent="0.3">
      <c r="B69" s="24">
        <v>23</v>
      </c>
      <c r="C69" s="23" t="s">
        <v>54</v>
      </c>
      <c r="D69" s="23" t="s">
        <v>70</v>
      </c>
      <c r="E69" s="25">
        <v>44395</v>
      </c>
      <c r="F69" s="30">
        <v>0.36458333333333331</v>
      </c>
      <c r="G69" s="30">
        <v>0.75</v>
      </c>
      <c r="H69" s="31"/>
      <c r="I69" s="32"/>
      <c r="J69" s="55"/>
    </row>
    <row r="70" spans="2:10" x14ac:dyDescent="0.3">
      <c r="B70" s="24">
        <v>14</v>
      </c>
      <c r="C70" s="23" t="s">
        <v>55</v>
      </c>
      <c r="D70" s="23" t="s">
        <v>69</v>
      </c>
      <c r="E70" s="25">
        <v>44395</v>
      </c>
      <c r="F70" s="30">
        <v>0.41666666666666702</v>
      </c>
      <c r="G70" s="30">
        <v>0.75</v>
      </c>
      <c r="H70" s="31"/>
      <c r="I70" s="32"/>
      <c r="J70" s="55"/>
    </row>
    <row r="71" spans="2:10" x14ac:dyDescent="0.3">
      <c r="B71" s="24">
        <v>10</v>
      </c>
      <c r="C71" s="23" t="s">
        <v>55</v>
      </c>
      <c r="D71" s="23" t="s">
        <v>72</v>
      </c>
      <c r="E71" s="25">
        <v>44395</v>
      </c>
      <c r="F71" s="30">
        <v>0.35416666666666669</v>
      </c>
      <c r="G71" s="30">
        <v>0.66666666666666663</v>
      </c>
      <c r="H71" s="31"/>
      <c r="I71" s="32"/>
      <c r="J71" s="55"/>
    </row>
    <row r="72" spans="2:10" x14ac:dyDescent="0.3">
      <c r="B72" s="24">
        <v>32</v>
      </c>
      <c r="C72" s="23" t="s">
        <v>55</v>
      </c>
      <c r="D72" s="23" t="s">
        <v>73</v>
      </c>
      <c r="E72" s="25">
        <v>44395</v>
      </c>
      <c r="F72" s="30">
        <v>0.35416666666666669</v>
      </c>
      <c r="G72" s="30">
        <v>0.91666666666666663</v>
      </c>
      <c r="H72" s="31"/>
      <c r="I72" s="32"/>
      <c r="J72" s="55"/>
    </row>
    <row r="73" spans="2:10" x14ac:dyDescent="0.3">
      <c r="B73" s="24">
        <v>37</v>
      </c>
      <c r="C73" s="23" t="s">
        <v>53</v>
      </c>
      <c r="D73" s="23" t="s">
        <v>76</v>
      </c>
      <c r="E73" s="25">
        <v>44396</v>
      </c>
      <c r="F73" s="30">
        <v>0.35416666666666702</v>
      </c>
      <c r="G73" s="30">
        <v>0.91666666666666663</v>
      </c>
      <c r="H73" s="31"/>
      <c r="I73" s="32"/>
      <c r="J73" s="55"/>
    </row>
    <row r="74" spans="2:10" x14ac:dyDescent="0.3">
      <c r="B74" s="24">
        <v>16</v>
      </c>
      <c r="C74" s="23" t="s">
        <v>53</v>
      </c>
      <c r="D74" s="23" t="s">
        <v>68</v>
      </c>
      <c r="E74" s="25">
        <v>44396</v>
      </c>
      <c r="F74" s="30">
        <v>0.41666666666666669</v>
      </c>
      <c r="G74" s="30">
        <v>0.625</v>
      </c>
      <c r="H74" s="31"/>
      <c r="I74" s="32"/>
      <c r="J74" s="55"/>
    </row>
    <row r="75" spans="2:10" x14ac:dyDescent="0.3">
      <c r="B75" s="24">
        <v>29</v>
      </c>
      <c r="C75" s="23" t="s">
        <v>53</v>
      </c>
      <c r="D75" s="23" t="s">
        <v>68</v>
      </c>
      <c r="E75" s="25">
        <v>44396</v>
      </c>
      <c r="F75" s="30">
        <v>0.375</v>
      </c>
      <c r="G75" s="30">
        <v>0.5</v>
      </c>
      <c r="H75" s="31"/>
      <c r="I75" s="32"/>
      <c r="J75" s="55"/>
    </row>
    <row r="76" spans="2:10" x14ac:dyDescent="0.3">
      <c r="B76" s="24">
        <v>10</v>
      </c>
      <c r="C76" s="23" t="s">
        <v>55</v>
      </c>
      <c r="D76" s="23" t="s">
        <v>75</v>
      </c>
      <c r="E76" s="25">
        <v>44396</v>
      </c>
      <c r="F76" s="30">
        <v>0.41666666666666669</v>
      </c>
      <c r="G76" s="30">
        <v>0.5</v>
      </c>
      <c r="H76" s="31"/>
      <c r="I76" s="32"/>
      <c r="J76" s="55"/>
    </row>
    <row r="77" spans="2:10" x14ac:dyDescent="0.3">
      <c r="B77" s="24">
        <v>24</v>
      </c>
      <c r="C77" s="23" t="s">
        <v>55</v>
      </c>
      <c r="D77" s="23" t="s">
        <v>72</v>
      </c>
      <c r="E77" s="25">
        <v>44396</v>
      </c>
      <c r="F77" s="30">
        <v>0.375</v>
      </c>
      <c r="G77" s="30">
        <v>0.58333333333333337</v>
      </c>
      <c r="H77" s="31"/>
      <c r="I77" s="32"/>
      <c r="J77" s="55"/>
    </row>
    <row r="78" spans="2:10" x14ac:dyDescent="0.3">
      <c r="B78" s="24">
        <v>12</v>
      </c>
      <c r="C78" s="23" t="s">
        <v>54</v>
      </c>
      <c r="D78" s="23" t="s">
        <v>75</v>
      </c>
      <c r="E78" s="25">
        <v>44397</v>
      </c>
      <c r="F78" s="30">
        <v>0.4375</v>
      </c>
      <c r="G78" s="30">
        <v>0.66666666666666663</v>
      </c>
      <c r="H78" s="31"/>
      <c r="I78" s="32"/>
      <c r="J78" s="55"/>
    </row>
    <row r="79" spans="2:10" x14ac:dyDescent="0.3">
      <c r="B79" s="24">
        <v>36</v>
      </c>
      <c r="C79" s="23" t="s">
        <v>54</v>
      </c>
      <c r="D79" s="23" t="s">
        <v>73</v>
      </c>
      <c r="E79" s="25">
        <v>44397</v>
      </c>
      <c r="F79" s="30">
        <v>0.33333333333333331</v>
      </c>
      <c r="G79" s="30">
        <v>0.72916666666666663</v>
      </c>
      <c r="H79" s="31"/>
      <c r="I79" s="32"/>
      <c r="J79" s="55"/>
    </row>
    <row r="80" spans="2:10" x14ac:dyDescent="0.3">
      <c r="B80" s="24">
        <v>24</v>
      </c>
      <c r="C80" s="23" t="s">
        <v>55</v>
      </c>
      <c r="D80" s="23" t="s">
        <v>75</v>
      </c>
      <c r="E80" s="25">
        <v>44397</v>
      </c>
      <c r="F80" s="30">
        <v>0.44791666666666669</v>
      </c>
      <c r="G80" s="30">
        <v>0.625</v>
      </c>
      <c r="H80" s="31"/>
      <c r="I80" s="32"/>
      <c r="J80" s="55"/>
    </row>
    <row r="81" spans="2:10" x14ac:dyDescent="0.3">
      <c r="B81" s="24">
        <v>11</v>
      </c>
      <c r="C81" s="23" t="s">
        <v>53</v>
      </c>
      <c r="D81" s="23" t="s">
        <v>72</v>
      </c>
      <c r="E81" s="25">
        <v>44398</v>
      </c>
      <c r="F81" s="30">
        <v>0.45833333333333331</v>
      </c>
      <c r="G81" s="30">
        <v>0.58333333333333337</v>
      </c>
      <c r="H81" s="31"/>
      <c r="I81" s="32"/>
      <c r="J81" s="55"/>
    </row>
    <row r="82" spans="2:10" x14ac:dyDescent="0.3">
      <c r="B82" s="24">
        <v>36</v>
      </c>
      <c r="C82" s="23" t="s">
        <v>54</v>
      </c>
      <c r="D82" s="23" t="s">
        <v>69</v>
      </c>
      <c r="E82" s="25">
        <v>44398</v>
      </c>
      <c r="F82" s="30">
        <v>0.40625</v>
      </c>
      <c r="G82" s="30">
        <v>0.75</v>
      </c>
      <c r="H82" s="31"/>
      <c r="I82" s="32"/>
      <c r="J82" s="55"/>
    </row>
    <row r="83" spans="2:10" x14ac:dyDescent="0.3">
      <c r="B83" s="24">
        <v>33</v>
      </c>
      <c r="C83" s="23" t="s">
        <v>53</v>
      </c>
      <c r="D83" s="23" t="s">
        <v>68</v>
      </c>
      <c r="E83" s="25">
        <v>44399</v>
      </c>
      <c r="F83" s="30">
        <v>0.35416666666666702</v>
      </c>
      <c r="G83" s="30">
        <v>0.875</v>
      </c>
      <c r="H83" s="31"/>
      <c r="I83" s="32"/>
      <c r="J83" s="55"/>
    </row>
    <row r="84" spans="2:10" x14ac:dyDescent="0.3">
      <c r="B84" s="24">
        <v>21</v>
      </c>
      <c r="C84" s="23" t="s">
        <v>54</v>
      </c>
      <c r="D84" s="23" t="s">
        <v>75</v>
      </c>
      <c r="E84" s="25">
        <v>44399</v>
      </c>
      <c r="F84" s="30">
        <v>0.35416666666666669</v>
      </c>
      <c r="G84" s="30">
        <v>0.58333333333333337</v>
      </c>
      <c r="H84" s="31"/>
      <c r="I84" s="32"/>
      <c r="J84" s="55"/>
    </row>
    <row r="85" spans="2:10" x14ac:dyDescent="0.3">
      <c r="B85" s="24">
        <v>12</v>
      </c>
      <c r="C85" s="23" t="s">
        <v>54</v>
      </c>
      <c r="D85" s="23" t="s">
        <v>73</v>
      </c>
      <c r="E85" s="25">
        <v>44399</v>
      </c>
      <c r="F85" s="30">
        <v>0.35416666666666669</v>
      </c>
      <c r="G85" s="30">
        <v>0.6875</v>
      </c>
      <c r="H85" s="31"/>
      <c r="I85" s="32"/>
      <c r="J85" s="55"/>
    </row>
    <row r="86" spans="2:10" x14ac:dyDescent="0.3">
      <c r="B86" s="24">
        <v>25</v>
      </c>
      <c r="C86" s="23" t="s">
        <v>54</v>
      </c>
      <c r="D86" s="23" t="s">
        <v>73</v>
      </c>
      <c r="E86" s="25">
        <v>44399</v>
      </c>
      <c r="F86" s="30">
        <v>0.45833333333333331</v>
      </c>
      <c r="G86" s="30">
        <v>0.66666666666666663</v>
      </c>
      <c r="H86" s="31"/>
      <c r="I86" s="32"/>
      <c r="J86" s="55"/>
    </row>
    <row r="87" spans="2:10" x14ac:dyDescent="0.3">
      <c r="B87" s="24">
        <v>14</v>
      </c>
      <c r="C87" s="23" t="s">
        <v>55</v>
      </c>
      <c r="D87" s="23" t="s">
        <v>70</v>
      </c>
      <c r="E87" s="25">
        <v>44399</v>
      </c>
      <c r="F87" s="30">
        <v>0.45833333333333298</v>
      </c>
      <c r="G87" s="30">
        <v>0.625</v>
      </c>
      <c r="H87" s="31"/>
      <c r="I87" s="32"/>
      <c r="J87" s="55"/>
    </row>
    <row r="88" spans="2:10" x14ac:dyDescent="0.3">
      <c r="B88" s="24">
        <v>33</v>
      </c>
      <c r="C88" s="23" t="s">
        <v>53</v>
      </c>
      <c r="D88" s="23" t="s">
        <v>76</v>
      </c>
      <c r="E88" s="25">
        <v>44400</v>
      </c>
      <c r="F88" s="30">
        <v>0.33333333333333331</v>
      </c>
      <c r="G88" s="30">
        <v>0.70833333333333337</v>
      </c>
      <c r="H88" s="31"/>
      <c r="I88" s="32"/>
      <c r="J88" s="55"/>
    </row>
    <row r="89" spans="2:10" x14ac:dyDescent="0.3">
      <c r="B89" s="24">
        <v>20</v>
      </c>
      <c r="C89" s="23" t="s">
        <v>53</v>
      </c>
      <c r="D89" s="23" t="s">
        <v>69</v>
      </c>
      <c r="E89" s="25">
        <v>44400</v>
      </c>
      <c r="F89" s="30">
        <v>0.375</v>
      </c>
      <c r="G89" s="30">
        <v>0.65625</v>
      </c>
      <c r="H89" s="31"/>
      <c r="I89" s="32"/>
      <c r="J89" s="55"/>
    </row>
    <row r="90" spans="2:10" x14ac:dyDescent="0.3">
      <c r="B90" s="24">
        <v>21</v>
      </c>
      <c r="C90" s="23" t="s">
        <v>54</v>
      </c>
      <c r="D90" s="23" t="s">
        <v>73</v>
      </c>
      <c r="E90" s="25">
        <v>44400</v>
      </c>
      <c r="F90" s="30">
        <v>0.58333333333333337</v>
      </c>
      <c r="G90" s="30">
        <v>0.91666666666666663</v>
      </c>
      <c r="H90" s="31"/>
      <c r="I90" s="32"/>
      <c r="J90" s="55"/>
    </row>
    <row r="91" spans="2:10" x14ac:dyDescent="0.3">
      <c r="B91" s="24">
        <v>20</v>
      </c>
      <c r="C91" s="23" t="s">
        <v>53</v>
      </c>
      <c r="D91" s="23" t="s">
        <v>72</v>
      </c>
      <c r="E91" s="25">
        <v>44401</v>
      </c>
      <c r="F91" s="30">
        <v>0.41666666666666669</v>
      </c>
      <c r="G91" s="30">
        <v>0.75</v>
      </c>
      <c r="H91" s="31"/>
      <c r="I91" s="32"/>
      <c r="J91" s="55"/>
    </row>
    <row r="92" spans="2:10" x14ac:dyDescent="0.3">
      <c r="B92" s="24">
        <v>25</v>
      </c>
      <c r="C92" s="23" t="s">
        <v>54</v>
      </c>
      <c r="D92" s="23" t="s">
        <v>69</v>
      </c>
      <c r="E92" s="25">
        <v>44401</v>
      </c>
      <c r="F92" s="30">
        <v>0.29166666666666669</v>
      </c>
      <c r="G92" s="30">
        <v>0.5</v>
      </c>
      <c r="H92" s="31"/>
      <c r="I92" s="32"/>
      <c r="J92" s="55"/>
    </row>
    <row r="93" spans="2:10" x14ac:dyDescent="0.3">
      <c r="B93" s="24">
        <v>38</v>
      </c>
      <c r="C93" s="23" t="s">
        <v>53</v>
      </c>
      <c r="D93" s="23" t="s">
        <v>74</v>
      </c>
      <c r="E93" s="25">
        <v>44404</v>
      </c>
      <c r="F93" s="30">
        <v>0.35416666666666702</v>
      </c>
      <c r="G93" s="30">
        <v>0.875</v>
      </c>
      <c r="H93" s="31"/>
      <c r="I93" s="32"/>
      <c r="J93" s="55"/>
    </row>
    <row r="94" spans="2:10" x14ac:dyDescent="0.3">
      <c r="B94" s="24">
        <v>38</v>
      </c>
      <c r="C94" s="23" t="s">
        <v>53</v>
      </c>
      <c r="D94" s="23" t="s">
        <v>70</v>
      </c>
      <c r="E94" s="25">
        <v>44403</v>
      </c>
      <c r="F94" s="30">
        <v>0.54166666666666663</v>
      </c>
      <c r="G94" s="30">
        <v>0.75</v>
      </c>
      <c r="H94" s="31"/>
      <c r="I94" s="32"/>
      <c r="J94" s="55"/>
    </row>
    <row r="95" spans="2:10" x14ac:dyDescent="0.3">
      <c r="B95" s="24">
        <v>33</v>
      </c>
      <c r="C95" s="23" t="s">
        <v>53</v>
      </c>
      <c r="D95" s="23" t="s">
        <v>74</v>
      </c>
      <c r="E95" s="25">
        <v>44404</v>
      </c>
      <c r="F95" s="30">
        <v>0.33333333333333331</v>
      </c>
      <c r="G95" s="30">
        <v>0.75</v>
      </c>
      <c r="H95" s="31"/>
      <c r="I95" s="32"/>
      <c r="J95" s="55"/>
    </row>
    <row r="96" spans="2:10" x14ac:dyDescent="0.3">
      <c r="B96" s="24">
        <v>30</v>
      </c>
      <c r="C96" s="23" t="s">
        <v>53</v>
      </c>
      <c r="D96" s="23" t="s">
        <v>74</v>
      </c>
      <c r="E96" s="25">
        <v>44405</v>
      </c>
      <c r="F96" s="30">
        <v>0.44791666666666669</v>
      </c>
      <c r="G96" s="30">
        <v>0.58333333333333337</v>
      </c>
      <c r="H96" s="31"/>
      <c r="I96" s="32"/>
      <c r="J96" s="55"/>
    </row>
    <row r="97" spans="2:10" x14ac:dyDescent="0.3">
      <c r="B97" s="24">
        <v>33</v>
      </c>
      <c r="C97" s="23" t="s">
        <v>53</v>
      </c>
      <c r="D97" s="23" t="s">
        <v>70</v>
      </c>
      <c r="E97" s="25">
        <v>44405</v>
      </c>
      <c r="F97" s="30">
        <v>0.40625</v>
      </c>
      <c r="G97" s="30">
        <v>0.83333333333333337</v>
      </c>
      <c r="H97" s="31"/>
      <c r="I97" s="32"/>
      <c r="J97" s="55"/>
    </row>
    <row r="98" spans="2:10" x14ac:dyDescent="0.3">
      <c r="B98" s="24">
        <v>26</v>
      </c>
      <c r="C98" s="23" t="s">
        <v>54</v>
      </c>
      <c r="D98" s="23" t="s">
        <v>74</v>
      </c>
      <c r="E98" s="25">
        <v>44405</v>
      </c>
      <c r="F98" s="30">
        <v>0.41666666666666669</v>
      </c>
      <c r="G98" s="30">
        <v>0.58333333333333337</v>
      </c>
      <c r="H98" s="31"/>
      <c r="I98" s="32"/>
      <c r="J98" s="55"/>
    </row>
    <row r="99" spans="2:10" x14ac:dyDescent="0.3">
      <c r="B99" s="24">
        <v>14</v>
      </c>
      <c r="C99" s="23" t="s">
        <v>55</v>
      </c>
      <c r="D99" s="23" t="s">
        <v>72</v>
      </c>
      <c r="E99" s="25">
        <v>44405</v>
      </c>
      <c r="F99" s="30">
        <v>0.33333333333333331</v>
      </c>
      <c r="G99" s="30">
        <v>0.66666666666666663</v>
      </c>
      <c r="H99" s="31"/>
      <c r="I99" s="32"/>
      <c r="J99" s="55"/>
    </row>
    <row r="100" spans="2:10" x14ac:dyDescent="0.3">
      <c r="B100" s="24">
        <v>39</v>
      </c>
      <c r="C100" s="23" t="s">
        <v>55</v>
      </c>
      <c r="D100" s="23" t="s">
        <v>72</v>
      </c>
      <c r="E100" s="25">
        <v>44405</v>
      </c>
      <c r="F100" s="30">
        <v>0.375</v>
      </c>
      <c r="G100" s="30">
        <v>0.58333333333333337</v>
      </c>
      <c r="H100" s="31"/>
      <c r="I100" s="32"/>
      <c r="J100" s="55"/>
    </row>
    <row r="101" spans="2:10" x14ac:dyDescent="0.3">
      <c r="B101" s="24">
        <v>29</v>
      </c>
      <c r="C101" s="23" t="s">
        <v>53</v>
      </c>
      <c r="D101" s="23" t="s">
        <v>76</v>
      </c>
      <c r="E101" s="25">
        <v>44406</v>
      </c>
      <c r="F101" s="30">
        <v>0.35416666666666702</v>
      </c>
      <c r="G101" s="30">
        <v>0.75</v>
      </c>
      <c r="H101" s="31"/>
      <c r="I101" s="32"/>
      <c r="J101" s="55"/>
    </row>
    <row r="102" spans="2:10" x14ac:dyDescent="0.3">
      <c r="B102" s="24">
        <v>30</v>
      </c>
      <c r="C102" s="23" t="s">
        <v>53</v>
      </c>
      <c r="D102" s="23" t="s">
        <v>70</v>
      </c>
      <c r="E102" s="25">
        <v>44406</v>
      </c>
      <c r="F102" s="30">
        <v>0.45833333333333331</v>
      </c>
      <c r="G102" s="30">
        <v>0.66666666666666663</v>
      </c>
      <c r="H102" s="31"/>
      <c r="I102" s="32"/>
      <c r="J102" s="55"/>
    </row>
    <row r="103" spans="2:10" x14ac:dyDescent="0.3">
      <c r="B103" s="24">
        <v>33</v>
      </c>
      <c r="C103" s="23" t="s">
        <v>53</v>
      </c>
      <c r="D103" s="23" t="s">
        <v>72</v>
      </c>
      <c r="E103" s="25">
        <v>44406</v>
      </c>
      <c r="F103" s="30">
        <v>0.32291666666666669</v>
      </c>
      <c r="G103" s="30">
        <v>0.70833333333333337</v>
      </c>
      <c r="H103" s="31"/>
      <c r="I103" s="32"/>
      <c r="J103" s="55"/>
    </row>
    <row r="104" spans="2:10" x14ac:dyDescent="0.3">
      <c r="B104" s="24">
        <v>28</v>
      </c>
      <c r="C104" s="23" t="s">
        <v>54</v>
      </c>
      <c r="D104" s="23" t="s">
        <v>75</v>
      </c>
      <c r="E104" s="25">
        <v>44406</v>
      </c>
      <c r="F104" s="30">
        <v>0.58333333333333337</v>
      </c>
      <c r="G104" s="30">
        <v>0.73958333333333337</v>
      </c>
      <c r="H104" s="31"/>
      <c r="I104" s="32"/>
      <c r="J104" s="55"/>
    </row>
    <row r="105" spans="2:10" x14ac:dyDescent="0.3">
      <c r="B105" s="24">
        <v>26</v>
      </c>
      <c r="C105" s="23" t="s">
        <v>54</v>
      </c>
      <c r="D105" s="23" t="s">
        <v>70</v>
      </c>
      <c r="E105" s="25">
        <v>44406</v>
      </c>
      <c r="F105" s="30">
        <v>0.28125</v>
      </c>
      <c r="G105" s="30">
        <v>0.66666666666666663</v>
      </c>
      <c r="H105" s="31"/>
      <c r="I105" s="32"/>
      <c r="J105" s="55"/>
    </row>
    <row r="106" spans="2:10" x14ac:dyDescent="0.3">
      <c r="B106" s="24">
        <v>27</v>
      </c>
      <c r="C106" s="23" t="s">
        <v>54</v>
      </c>
      <c r="D106" s="23" t="s">
        <v>72</v>
      </c>
      <c r="E106" s="25">
        <v>44406</v>
      </c>
      <c r="F106" s="30">
        <v>0.61458333333333337</v>
      </c>
      <c r="G106" s="30">
        <v>0.6875</v>
      </c>
      <c r="H106" s="31"/>
      <c r="I106" s="32"/>
      <c r="J106" s="55"/>
    </row>
    <row r="107" spans="2:10" x14ac:dyDescent="0.3">
      <c r="B107" s="24">
        <v>34</v>
      </c>
      <c r="C107" s="23" t="s">
        <v>53</v>
      </c>
      <c r="D107" s="23" t="s">
        <v>67</v>
      </c>
      <c r="E107" s="25">
        <v>44407</v>
      </c>
      <c r="F107" s="30">
        <v>0.35416666666666702</v>
      </c>
      <c r="G107" s="30">
        <v>0.58333333333333337</v>
      </c>
      <c r="H107" s="31"/>
      <c r="I107" s="32"/>
      <c r="J107" s="55"/>
    </row>
    <row r="108" spans="2:10" x14ac:dyDescent="0.3">
      <c r="B108" s="24">
        <v>28</v>
      </c>
      <c r="C108" s="23" t="s">
        <v>54</v>
      </c>
      <c r="D108" s="23" t="s">
        <v>73</v>
      </c>
      <c r="E108" s="25">
        <v>44407</v>
      </c>
      <c r="F108" s="30">
        <v>0.5</v>
      </c>
      <c r="G108" s="30">
        <v>0.625</v>
      </c>
      <c r="H108" s="31"/>
      <c r="I108" s="32"/>
      <c r="J108" s="55"/>
    </row>
    <row r="109" spans="2:10" x14ac:dyDescent="0.3">
      <c r="B109" s="24">
        <v>33</v>
      </c>
      <c r="C109" s="23" t="s">
        <v>53</v>
      </c>
      <c r="D109" s="23" t="s">
        <v>75</v>
      </c>
      <c r="E109" s="25">
        <v>44408</v>
      </c>
      <c r="F109" s="30">
        <v>0.25</v>
      </c>
      <c r="G109" s="30">
        <v>0.625</v>
      </c>
      <c r="H109" s="31"/>
      <c r="I109" s="32"/>
      <c r="J109" s="55"/>
    </row>
    <row r="110" spans="2:10" x14ac:dyDescent="0.3">
      <c r="B110" s="24">
        <v>34</v>
      </c>
      <c r="C110" s="23" t="s">
        <v>53</v>
      </c>
      <c r="D110" s="23" t="s">
        <v>70</v>
      </c>
      <c r="E110" s="25">
        <v>44408</v>
      </c>
      <c r="F110" s="30">
        <v>0.54166666666666663</v>
      </c>
      <c r="G110" s="30">
        <v>0.625</v>
      </c>
      <c r="H110" s="31"/>
      <c r="I110" s="32"/>
      <c r="J110" s="55"/>
    </row>
    <row r="111" spans="2:10" x14ac:dyDescent="0.3">
      <c r="B111" s="24">
        <v>39</v>
      </c>
      <c r="C111" s="23" t="s">
        <v>55</v>
      </c>
      <c r="D111" s="23" t="s">
        <v>75</v>
      </c>
      <c r="E111" s="25">
        <v>44408</v>
      </c>
      <c r="F111" s="30">
        <v>0.5</v>
      </c>
      <c r="G111" s="30">
        <v>0.625</v>
      </c>
      <c r="H111" s="31"/>
      <c r="I111" s="32"/>
      <c r="J111" s="55"/>
    </row>
    <row r="112" spans="2:10" x14ac:dyDescent="0.3">
      <c r="B112" s="33"/>
      <c r="C112" s="33"/>
      <c r="D112" s="34"/>
      <c r="E112" s="33"/>
      <c r="F112" s="33"/>
      <c r="G112" s="35"/>
      <c r="H112" s="33"/>
      <c r="I112" s="33"/>
    </row>
    <row r="113" spans="2:9" x14ac:dyDescent="0.3">
      <c r="B113" s="33"/>
      <c r="C113" s="33"/>
      <c r="D113" s="34"/>
      <c r="E113" s="33"/>
      <c r="F113" s="33"/>
      <c r="G113" s="35"/>
      <c r="H113" s="33"/>
      <c r="I113" s="33"/>
    </row>
    <row r="114" spans="2:9" x14ac:dyDescent="0.3">
      <c r="B114" s="33"/>
      <c r="C114" s="33"/>
      <c r="D114" s="33"/>
      <c r="E114" s="33"/>
      <c r="F114" s="33"/>
      <c r="G114" s="35"/>
      <c r="H114" s="33"/>
      <c r="I114" s="33"/>
    </row>
    <row r="115" spans="2:9" x14ac:dyDescent="0.3">
      <c r="B115" s="33"/>
      <c r="C115" s="33"/>
      <c r="D115" s="33"/>
      <c r="E115" s="33"/>
      <c r="F115" s="33"/>
      <c r="G115" s="33"/>
      <c r="H115" s="33"/>
      <c r="I115" s="33"/>
    </row>
    <row r="116" spans="2:9" x14ac:dyDescent="0.3">
      <c r="B116" s="33"/>
      <c r="C116" s="33"/>
      <c r="D116" s="33"/>
      <c r="E116" s="33"/>
      <c r="F116" s="33"/>
      <c r="G116" s="33"/>
      <c r="H116" s="33"/>
      <c r="I116" s="33"/>
    </row>
    <row r="117" spans="2:9" x14ac:dyDescent="0.3">
      <c r="B117" s="33"/>
      <c r="C117" s="33"/>
      <c r="D117" s="33"/>
      <c r="E117" s="33"/>
      <c r="F117" s="33"/>
      <c r="G117" s="33"/>
      <c r="H117" s="33"/>
      <c r="I117" s="33"/>
    </row>
    <row r="118" spans="2:9" x14ac:dyDescent="0.3">
      <c r="B118" s="33"/>
      <c r="C118" s="33"/>
      <c r="D118" s="33"/>
      <c r="E118" s="33"/>
      <c r="F118" s="33"/>
      <c r="G118" s="33"/>
      <c r="H118" s="33"/>
      <c r="I118" s="33"/>
    </row>
    <row r="119" spans="2:9" x14ac:dyDescent="0.3">
      <c r="B119" s="33"/>
      <c r="C119" s="33"/>
      <c r="D119" s="33"/>
      <c r="E119" s="33"/>
      <c r="F119" s="33"/>
      <c r="G119" s="33"/>
      <c r="H119" s="33"/>
      <c r="I119" s="33"/>
    </row>
    <row r="120" spans="2:9" x14ac:dyDescent="0.3">
      <c r="B120" s="33"/>
      <c r="C120" s="33"/>
      <c r="D120" s="33"/>
      <c r="E120" s="33"/>
      <c r="F120" s="33"/>
      <c r="G120" s="33"/>
      <c r="H120" s="33"/>
      <c r="I120" s="33"/>
    </row>
    <row r="121" spans="2:9" x14ac:dyDescent="0.3">
      <c r="B121" s="33"/>
      <c r="C121" s="33"/>
      <c r="D121" s="33"/>
      <c r="E121" s="33"/>
      <c r="F121" s="33"/>
      <c r="G121" s="33"/>
      <c r="H121" s="33"/>
      <c r="I121" s="33"/>
    </row>
    <row r="122" spans="2:9" x14ac:dyDescent="0.3">
      <c r="B122" s="33"/>
      <c r="C122" s="33"/>
      <c r="D122" s="33"/>
      <c r="E122" s="33"/>
      <c r="F122" s="33"/>
      <c r="G122" s="33"/>
      <c r="H122" s="33"/>
      <c r="I122" s="33"/>
    </row>
    <row r="123" spans="2:9" x14ac:dyDescent="0.3">
      <c r="B123" s="33"/>
      <c r="C123" s="33"/>
      <c r="D123" s="33"/>
      <c r="E123" s="33"/>
      <c r="F123" s="33"/>
      <c r="G123" s="33"/>
      <c r="H123" s="33"/>
      <c r="I123" s="33"/>
    </row>
    <row r="124" spans="2:9" x14ac:dyDescent="0.3">
      <c r="B124" s="33"/>
      <c r="C124" s="33"/>
      <c r="D124" s="33"/>
      <c r="E124" s="33"/>
      <c r="F124" s="33"/>
      <c r="G124" s="33"/>
      <c r="H124" s="33"/>
      <c r="I124" s="33"/>
    </row>
    <row r="125" spans="2:9" x14ac:dyDescent="0.3">
      <c r="B125" s="33"/>
      <c r="C125" s="33"/>
      <c r="D125" s="33"/>
      <c r="E125" s="33"/>
      <c r="F125" s="33"/>
      <c r="G125" s="33"/>
      <c r="H125" s="33"/>
      <c r="I125" s="33"/>
    </row>
    <row r="126" spans="2:9" x14ac:dyDescent="0.3">
      <c r="B126" s="33"/>
      <c r="C126" s="33"/>
      <c r="D126" s="33"/>
      <c r="E126" s="33"/>
      <c r="F126" s="33"/>
      <c r="G126" s="33"/>
      <c r="H126" s="33"/>
      <c r="I126" s="33"/>
    </row>
    <row r="127" spans="2:9" x14ac:dyDescent="0.3">
      <c r="B127" s="33"/>
      <c r="C127" s="33"/>
      <c r="D127" s="33"/>
      <c r="E127" s="33"/>
      <c r="F127" s="33"/>
      <c r="G127" s="33"/>
      <c r="H127" s="33"/>
      <c r="I127" s="33"/>
    </row>
    <row r="128" spans="2:9" x14ac:dyDescent="0.3">
      <c r="B128" s="33"/>
      <c r="C128" s="33"/>
      <c r="D128" s="33"/>
      <c r="E128" s="33"/>
      <c r="F128" s="33"/>
      <c r="G128" s="33"/>
      <c r="H128" s="33"/>
      <c r="I128" s="33"/>
    </row>
    <row r="129" spans="2:9" x14ac:dyDescent="0.3">
      <c r="B129" s="33"/>
      <c r="C129" s="33"/>
      <c r="D129" s="33"/>
      <c r="E129" s="33"/>
      <c r="F129" s="33"/>
      <c r="G129" s="33"/>
      <c r="H129" s="33"/>
      <c r="I129" s="33"/>
    </row>
    <row r="130" spans="2:9" x14ac:dyDescent="0.3">
      <c r="B130" s="33"/>
      <c r="C130" s="33"/>
      <c r="D130" s="33"/>
      <c r="E130" s="33"/>
      <c r="F130" s="33"/>
      <c r="G130" s="33"/>
      <c r="H130" s="33"/>
      <c r="I130" s="33"/>
    </row>
    <row r="131" spans="2:9" x14ac:dyDescent="0.3">
      <c r="B131" s="33"/>
      <c r="C131" s="33"/>
      <c r="D131" s="33"/>
      <c r="E131" s="33"/>
      <c r="F131" s="33"/>
      <c r="G131" s="33"/>
      <c r="H131" s="33"/>
      <c r="I131" s="33"/>
    </row>
    <row r="132" spans="2:9" x14ac:dyDescent="0.3">
      <c r="B132" s="33"/>
      <c r="C132" s="33"/>
      <c r="D132" s="33"/>
      <c r="E132" s="33"/>
      <c r="F132" s="33"/>
      <c r="G132" s="33"/>
      <c r="H132" s="33"/>
      <c r="I132" s="33"/>
    </row>
    <row r="133" spans="2:9" x14ac:dyDescent="0.3">
      <c r="B133" s="33"/>
      <c r="C133" s="33"/>
      <c r="D133" s="33"/>
      <c r="E133" s="33"/>
      <c r="F133" s="33"/>
      <c r="G133" s="33"/>
      <c r="H133" s="33"/>
      <c r="I133" s="33"/>
    </row>
    <row r="134" spans="2:9" x14ac:dyDescent="0.3">
      <c r="B134" s="33"/>
      <c r="C134" s="33"/>
      <c r="D134" s="33"/>
      <c r="E134" s="33"/>
      <c r="F134" s="33"/>
      <c r="G134" s="33"/>
      <c r="H134" s="33"/>
      <c r="I134" s="33"/>
    </row>
    <row r="135" spans="2:9" x14ac:dyDescent="0.3">
      <c r="B135" s="33"/>
      <c r="C135" s="33"/>
      <c r="D135" s="33"/>
      <c r="E135" s="33"/>
      <c r="F135" s="33"/>
      <c r="G135" s="33"/>
      <c r="H135" s="33"/>
      <c r="I135" s="33"/>
    </row>
    <row r="136" spans="2:9" x14ac:dyDescent="0.3">
      <c r="B136" s="33"/>
      <c r="C136" s="33"/>
      <c r="D136" s="33"/>
      <c r="E136" s="33"/>
      <c r="F136" s="33"/>
      <c r="G136" s="33"/>
      <c r="H136" s="33"/>
      <c r="I136" s="33"/>
    </row>
    <row r="137" spans="2:9" x14ac:dyDescent="0.3">
      <c r="B137" s="33"/>
      <c r="C137" s="33"/>
      <c r="D137" s="33"/>
      <c r="E137" s="33"/>
      <c r="F137" s="33"/>
      <c r="G137" s="33"/>
      <c r="H137" s="33"/>
      <c r="I137" s="33"/>
    </row>
    <row r="138" spans="2:9" x14ac:dyDescent="0.3">
      <c r="B138" s="33"/>
      <c r="C138" s="33"/>
      <c r="D138" s="33"/>
      <c r="E138" s="33"/>
      <c r="F138" s="33"/>
      <c r="G138" s="33"/>
      <c r="H138" s="33"/>
      <c r="I138" s="33"/>
    </row>
    <row r="139" spans="2:9" x14ac:dyDescent="0.3">
      <c r="B139" s="33"/>
      <c r="C139" s="33"/>
      <c r="D139" s="33"/>
      <c r="E139" s="33"/>
      <c r="F139" s="33"/>
      <c r="G139" s="33"/>
      <c r="H139" s="33"/>
      <c r="I139" s="33"/>
    </row>
    <row r="140" spans="2:9" x14ac:dyDescent="0.3">
      <c r="B140" s="33"/>
      <c r="C140" s="33"/>
      <c r="D140" s="33"/>
      <c r="E140" s="33"/>
      <c r="F140" s="33"/>
      <c r="G140" s="33"/>
      <c r="H140" s="33"/>
      <c r="I140" s="33"/>
    </row>
    <row r="141" spans="2:9" x14ac:dyDescent="0.3">
      <c r="B141" s="33"/>
      <c r="C141" s="33"/>
      <c r="D141" s="33"/>
      <c r="E141" s="33"/>
      <c r="F141" s="33"/>
      <c r="G141" s="33"/>
      <c r="H141" s="33"/>
      <c r="I141" s="33"/>
    </row>
    <row r="142" spans="2:9" x14ac:dyDescent="0.3">
      <c r="B142" s="33"/>
      <c r="C142" s="33"/>
      <c r="D142" s="33"/>
      <c r="E142" s="33"/>
      <c r="F142" s="33"/>
      <c r="G142" s="33"/>
      <c r="H142" s="33"/>
      <c r="I142" s="33"/>
    </row>
    <row r="143" spans="2:9" x14ac:dyDescent="0.3">
      <c r="B143" s="33"/>
      <c r="C143" s="33"/>
      <c r="D143" s="33"/>
      <c r="E143" s="33"/>
      <c r="F143" s="33"/>
      <c r="G143" s="33"/>
      <c r="H143" s="33"/>
      <c r="I143" s="33"/>
    </row>
    <row r="144" spans="2:9" x14ac:dyDescent="0.3">
      <c r="B144" s="33"/>
      <c r="C144" s="33"/>
      <c r="D144" s="33"/>
      <c r="E144" s="33"/>
      <c r="F144" s="33"/>
      <c r="G144" s="33"/>
      <c r="H144" s="33"/>
      <c r="I144" s="33"/>
    </row>
    <row r="145" spans="2:9" x14ac:dyDescent="0.3">
      <c r="B145" s="33"/>
      <c r="C145" s="33"/>
      <c r="D145" s="33"/>
      <c r="E145" s="33"/>
      <c r="F145" s="33"/>
      <c r="G145" s="33"/>
      <c r="H145" s="33"/>
      <c r="I145" s="33"/>
    </row>
    <row r="146" spans="2:9" x14ac:dyDescent="0.3">
      <c r="B146" s="33"/>
      <c r="C146" s="33"/>
      <c r="D146" s="33"/>
      <c r="E146" s="33"/>
      <c r="F146" s="33"/>
      <c r="G146" s="33"/>
      <c r="H146" s="33"/>
      <c r="I146" s="33"/>
    </row>
    <row r="147" spans="2:9" x14ac:dyDescent="0.3">
      <c r="B147" s="33"/>
      <c r="C147" s="33"/>
      <c r="D147" s="33"/>
      <c r="E147" s="33"/>
      <c r="F147" s="33"/>
      <c r="G147" s="33"/>
      <c r="H147" s="33"/>
      <c r="I147" s="33"/>
    </row>
    <row r="148" spans="2:9" x14ac:dyDescent="0.3">
      <c r="B148" s="33"/>
      <c r="C148" s="33"/>
      <c r="D148" s="33"/>
      <c r="E148" s="33"/>
      <c r="F148" s="33"/>
      <c r="G148" s="33"/>
      <c r="H148" s="33"/>
      <c r="I148" s="33"/>
    </row>
    <row r="149" spans="2:9" x14ac:dyDescent="0.3">
      <c r="B149" s="33"/>
      <c r="C149" s="33"/>
      <c r="D149" s="33"/>
      <c r="E149" s="33"/>
      <c r="F149" s="33"/>
      <c r="G149" s="33"/>
      <c r="H149" s="33"/>
      <c r="I149" s="33"/>
    </row>
    <row r="150" spans="2:9" x14ac:dyDescent="0.3">
      <c r="B150" s="33"/>
      <c r="C150" s="33"/>
      <c r="D150" s="33"/>
      <c r="E150" s="33"/>
      <c r="F150" s="33"/>
      <c r="G150" s="33"/>
      <c r="H150" s="33"/>
      <c r="I150" s="33"/>
    </row>
    <row r="151" spans="2:9" x14ac:dyDescent="0.3">
      <c r="B151" s="33"/>
      <c r="C151" s="33"/>
      <c r="D151" s="33"/>
      <c r="E151" s="33"/>
      <c r="F151" s="33"/>
      <c r="G151" s="33"/>
      <c r="H151" s="33"/>
      <c r="I151" s="33"/>
    </row>
    <row r="152" spans="2:9" x14ac:dyDescent="0.3">
      <c r="B152" s="33"/>
      <c r="C152" s="33"/>
      <c r="D152" s="33"/>
      <c r="E152" s="33"/>
      <c r="F152" s="33"/>
      <c r="G152" s="33"/>
      <c r="H152" s="33"/>
      <c r="I152" s="33"/>
    </row>
    <row r="153" spans="2:9" x14ac:dyDescent="0.3">
      <c r="B153" s="33"/>
      <c r="C153" s="33"/>
      <c r="D153" s="33"/>
      <c r="E153" s="33"/>
      <c r="F153" s="33"/>
      <c r="G153" s="33"/>
      <c r="H153" s="33"/>
      <c r="I153" s="33"/>
    </row>
    <row r="154" spans="2:9" x14ac:dyDescent="0.3">
      <c r="B154" s="33"/>
      <c r="C154" s="33"/>
      <c r="D154" s="33"/>
      <c r="E154" s="33"/>
      <c r="F154" s="33"/>
      <c r="G154" s="33"/>
      <c r="H154" s="33"/>
      <c r="I154" s="33"/>
    </row>
    <row r="155" spans="2:9" x14ac:dyDescent="0.3">
      <c r="B155" s="33"/>
      <c r="C155" s="33"/>
      <c r="D155" s="33"/>
      <c r="E155" s="33"/>
      <c r="F155" s="33"/>
      <c r="G155" s="33"/>
      <c r="H155" s="33"/>
      <c r="I155" s="33"/>
    </row>
    <row r="156" spans="2:9" x14ac:dyDescent="0.3">
      <c r="B156" s="33"/>
      <c r="C156" s="33"/>
      <c r="D156" s="33"/>
      <c r="E156" s="33"/>
      <c r="F156" s="33"/>
      <c r="G156" s="33"/>
      <c r="H156" s="33"/>
      <c r="I156" s="33"/>
    </row>
    <row r="157" spans="2:9" x14ac:dyDescent="0.3">
      <c r="B157" s="33"/>
      <c r="C157" s="33"/>
      <c r="D157" s="33"/>
      <c r="E157" s="33"/>
      <c r="F157" s="33"/>
      <c r="G157" s="33"/>
      <c r="H157" s="33"/>
      <c r="I157" s="33"/>
    </row>
    <row r="158" spans="2:9" x14ac:dyDescent="0.3">
      <c r="B158" s="33"/>
      <c r="C158" s="33"/>
      <c r="D158" s="33"/>
      <c r="E158" s="33"/>
      <c r="F158" s="33"/>
      <c r="G158" s="33"/>
      <c r="H158" s="33"/>
      <c r="I158" s="33"/>
    </row>
    <row r="159" spans="2:9" x14ac:dyDescent="0.3">
      <c r="B159" s="33"/>
      <c r="C159" s="33"/>
      <c r="D159" s="33"/>
      <c r="E159" s="33"/>
      <c r="F159" s="33"/>
      <c r="G159" s="33"/>
      <c r="H159" s="33"/>
      <c r="I159" s="33"/>
    </row>
    <row r="160" spans="2:9" x14ac:dyDescent="0.3">
      <c r="B160" s="33"/>
      <c r="C160" s="33"/>
      <c r="D160" s="33"/>
      <c r="E160" s="33"/>
      <c r="F160" s="33"/>
      <c r="G160" s="33"/>
      <c r="H160" s="33"/>
      <c r="I160" s="33"/>
    </row>
    <row r="161" spans="2:9" x14ac:dyDescent="0.3">
      <c r="B161" s="33"/>
      <c r="C161" s="33"/>
      <c r="D161" s="33"/>
      <c r="E161" s="33"/>
      <c r="F161" s="33"/>
      <c r="G161" s="33"/>
      <c r="H161" s="33"/>
      <c r="I161" s="33"/>
    </row>
    <row r="162" spans="2:9" x14ac:dyDescent="0.3">
      <c r="B162" s="33"/>
      <c r="C162" s="33"/>
      <c r="D162" s="33"/>
      <c r="E162" s="33"/>
      <c r="F162" s="33"/>
      <c r="G162" s="33"/>
      <c r="H162" s="33"/>
      <c r="I162" s="33"/>
    </row>
    <row r="163" spans="2:9" x14ac:dyDescent="0.3">
      <c r="B163" s="33"/>
      <c r="C163" s="33"/>
      <c r="D163" s="33"/>
      <c r="E163" s="33"/>
      <c r="F163" s="33"/>
      <c r="G163" s="33"/>
      <c r="H163" s="33"/>
      <c r="I163" s="33"/>
    </row>
    <row r="164" spans="2:9" x14ac:dyDescent="0.3">
      <c r="B164" s="33"/>
      <c r="C164" s="33"/>
      <c r="D164" s="33"/>
      <c r="E164" s="33"/>
      <c r="F164" s="33"/>
      <c r="G164" s="33"/>
      <c r="H164" s="33"/>
      <c r="I164" s="33"/>
    </row>
    <row r="165" spans="2:9" x14ac:dyDescent="0.3">
      <c r="B165" s="33"/>
      <c r="C165" s="33"/>
      <c r="D165" s="33"/>
      <c r="E165" s="33"/>
      <c r="F165" s="33"/>
      <c r="G165" s="33"/>
      <c r="H165" s="33"/>
      <c r="I165" s="33"/>
    </row>
    <row r="166" spans="2:9" x14ac:dyDescent="0.3">
      <c r="B166" s="33"/>
      <c r="C166" s="33"/>
      <c r="D166" s="33"/>
      <c r="E166" s="33"/>
      <c r="F166" s="33"/>
      <c r="G166" s="33"/>
      <c r="H166" s="33"/>
      <c r="I166" s="33"/>
    </row>
    <row r="167" spans="2:9" x14ac:dyDescent="0.3">
      <c r="B167" s="33"/>
      <c r="C167" s="33"/>
      <c r="D167" s="33"/>
      <c r="E167" s="33"/>
      <c r="F167" s="33"/>
      <c r="G167" s="33"/>
      <c r="H167" s="33"/>
      <c r="I167" s="33"/>
    </row>
    <row r="168" spans="2:9" x14ac:dyDescent="0.3">
      <c r="B168" s="33"/>
      <c r="C168" s="33"/>
      <c r="D168" s="33"/>
      <c r="E168" s="33"/>
      <c r="F168" s="33"/>
      <c r="G168" s="33"/>
      <c r="H168" s="33"/>
      <c r="I168" s="33"/>
    </row>
    <row r="169" spans="2:9" x14ac:dyDescent="0.3">
      <c r="B169" s="33"/>
      <c r="C169" s="33"/>
      <c r="D169" s="33"/>
      <c r="E169" s="33"/>
      <c r="F169" s="33"/>
      <c r="G169" s="33"/>
      <c r="H169" s="33"/>
      <c r="I169" s="33"/>
    </row>
    <row r="170" spans="2:9" x14ac:dyDescent="0.3">
      <c r="B170" s="33"/>
      <c r="C170" s="33"/>
      <c r="D170" s="33"/>
      <c r="E170" s="33"/>
      <c r="F170" s="33"/>
      <c r="G170" s="33"/>
      <c r="H170" s="33"/>
      <c r="I170" s="33"/>
    </row>
    <row r="171" spans="2:9" x14ac:dyDescent="0.3">
      <c r="B171" s="33"/>
      <c r="C171" s="33"/>
      <c r="D171" s="33"/>
      <c r="E171" s="33"/>
      <c r="F171" s="33"/>
      <c r="G171" s="33"/>
      <c r="H171" s="33"/>
      <c r="I171" s="33"/>
    </row>
    <row r="172" spans="2:9" x14ac:dyDescent="0.3">
      <c r="B172" s="33"/>
      <c r="C172" s="33"/>
      <c r="D172" s="33"/>
      <c r="E172" s="33"/>
      <c r="F172" s="33"/>
      <c r="G172" s="33"/>
      <c r="H172" s="33"/>
      <c r="I172" s="33"/>
    </row>
    <row r="173" spans="2:9" x14ac:dyDescent="0.3">
      <c r="B173" s="33"/>
      <c r="C173" s="33"/>
      <c r="D173" s="33"/>
      <c r="E173" s="33"/>
      <c r="F173" s="33"/>
      <c r="G173" s="33"/>
      <c r="H173" s="33"/>
      <c r="I173" s="33"/>
    </row>
    <row r="174" spans="2:9" x14ac:dyDescent="0.3">
      <c r="B174" s="33"/>
      <c r="C174" s="33"/>
      <c r="D174" s="33"/>
      <c r="E174" s="33"/>
      <c r="F174" s="33"/>
      <c r="G174" s="33"/>
      <c r="H174" s="33"/>
      <c r="I174" s="33"/>
    </row>
    <row r="175" spans="2:9" x14ac:dyDescent="0.3">
      <c r="B175" s="33"/>
      <c r="C175" s="33"/>
      <c r="D175" s="33"/>
      <c r="E175" s="33"/>
      <c r="F175" s="33"/>
      <c r="G175" s="33"/>
      <c r="H175" s="33"/>
      <c r="I175" s="33"/>
    </row>
    <row r="176" spans="2:9" x14ac:dyDescent="0.3">
      <c r="B176" s="33"/>
      <c r="C176" s="33"/>
      <c r="D176" s="33"/>
      <c r="E176" s="33"/>
      <c r="F176" s="33"/>
      <c r="G176" s="33"/>
      <c r="H176" s="33"/>
      <c r="I176" s="33"/>
    </row>
    <row r="177" spans="2:9" x14ac:dyDescent="0.3">
      <c r="B177" s="33"/>
      <c r="C177" s="33"/>
      <c r="D177" s="33"/>
      <c r="E177" s="33"/>
      <c r="F177" s="33"/>
      <c r="G177" s="33"/>
      <c r="H177" s="33"/>
      <c r="I177" s="33"/>
    </row>
    <row r="178" spans="2:9" x14ac:dyDescent="0.3">
      <c r="B178" s="33"/>
      <c r="C178" s="33"/>
      <c r="D178" s="33"/>
      <c r="E178" s="33"/>
      <c r="F178" s="33"/>
      <c r="G178" s="33"/>
      <c r="H178" s="33"/>
      <c r="I178" s="33"/>
    </row>
    <row r="179" spans="2:9" x14ac:dyDescent="0.3">
      <c r="B179" s="33"/>
      <c r="C179" s="33"/>
      <c r="D179" s="33"/>
      <c r="E179" s="33"/>
      <c r="F179" s="33"/>
      <c r="G179" s="33"/>
      <c r="H179" s="33"/>
      <c r="I179" s="33"/>
    </row>
    <row r="180" spans="2:9" x14ac:dyDescent="0.3">
      <c r="B180" s="33"/>
      <c r="C180" s="33"/>
      <c r="D180" s="33"/>
      <c r="E180" s="33"/>
      <c r="F180" s="33"/>
      <c r="G180" s="33"/>
      <c r="H180" s="33"/>
      <c r="I180" s="33"/>
    </row>
    <row r="181" spans="2:9" x14ac:dyDescent="0.3">
      <c r="B181" s="33"/>
      <c r="C181" s="33"/>
      <c r="D181" s="33"/>
      <c r="E181" s="33"/>
      <c r="F181" s="33"/>
      <c r="G181" s="33"/>
      <c r="H181" s="33"/>
      <c r="I181" s="33"/>
    </row>
    <row r="182" spans="2:9" x14ac:dyDescent="0.3">
      <c r="B182" s="33"/>
      <c r="C182" s="33"/>
      <c r="D182" s="33"/>
      <c r="E182" s="33"/>
      <c r="F182" s="33"/>
      <c r="G182" s="33"/>
      <c r="H182" s="33"/>
      <c r="I182" s="33"/>
    </row>
    <row r="183" spans="2:9" x14ac:dyDescent="0.3">
      <c r="B183" s="33"/>
      <c r="C183" s="33"/>
      <c r="D183" s="33"/>
      <c r="E183" s="33"/>
      <c r="F183" s="33"/>
      <c r="G183" s="33"/>
      <c r="H183" s="33"/>
      <c r="I183" s="33"/>
    </row>
    <row r="184" spans="2:9" x14ac:dyDescent="0.3">
      <c r="B184" s="33"/>
      <c r="C184" s="33"/>
      <c r="D184" s="33"/>
      <c r="E184" s="33"/>
      <c r="F184" s="33"/>
      <c r="G184" s="33"/>
      <c r="H184" s="33"/>
      <c r="I184" s="33"/>
    </row>
    <row r="185" spans="2:9" x14ac:dyDescent="0.3">
      <c r="B185" s="33"/>
      <c r="C185" s="33"/>
      <c r="D185" s="33"/>
      <c r="E185" s="33"/>
      <c r="F185" s="33"/>
      <c r="G185" s="33"/>
      <c r="H185" s="33"/>
      <c r="I185" s="33"/>
    </row>
    <row r="186" spans="2:9" x14ac:dyDescent="0.3">
      <c r="B186" s="33"/>
      <c r="C186" s="33"/>
      <c r="D186" s="33"/>
      <c r="E186" s="33"/>
      <c r="F186" s="33"/>
      <c r="G186" s="33"/>
      <c r="H186" s="33"/>
      <c r="I186" s="33"/>
    </row>
    <row r="187" spans="2:9" x14ac:dyDescent="0.3">
      <c r="B187" s="33"/>
      <c r="C187" s="33"/>
      <c r="D187" s="33"/>
      <c r="E187" s="33"/>
      <c r="F187" s="33"/>
      <c r="G187" s="33"/>
      <c r="H187" s="33"/>
      <c r="I187" s="33"/>
    </row>
    <row r="188" spans="2:9" x14ac:dyDescent="0.3">
      <c r="B188" s="33"/>
      <c r="C188" s="33"/>
      <c r="D188" s="33"/>
      <c r="E188" s="33"/>
      <c r="F188" s="33"/>
      <c r="G188" s="33"/>
      <c r="H188" s="33"/>
      <c r="I188" s="33"/>
    </row>
    <row r="189" spans="2:9" x14ac:dyDescent="0.3">
      <c r="B189" s="33"/>
      <c r="C189" s="33"/>
      <c r="D189" s="33"/>
      <c r="E189" s="33"/>
      <c r="F189" s="33"/>
      <c r="G189" s="33"/>
      <c r="H189" s="33"/>
      <c r="I189" s="33"/>
    </row>
    <row r="190" spans="2:9" x14ac:dyDescent="0.3">
      <c r="B190" s="33"/>
      <c r="C190" s="33"/>
      <c r="D190" s="33"/>
      <c r="E190" s="33"/>
      <c r="F190" s="33"/>
      <c r="G190" s="33"/>
      <c r="H190" s="33"/>
      <c r="I190" s="33"/>
    </row>
    <row r="191" spans="2:9" x14ac:dyDescent="0.3">
      <c r="B191" s="33"/>
      <c r="C191" s="33"/>
      <c r="D191" s="33"/>
      <c r="E191" s="33"/>
      <c r="F191" s="33"/>
      <c r="G191" s="33"/>
      <c r="H191" s="33"/>
      <c r="I191" s="33"/>
    </row>
    <row r="192" spans="2:9" x14ac:dyDescent="0.3">
      <c r="B192" s="33"/>
      <c r="C192" s="33"/>
      <c r="D192" s="33"/>
      <c r="E192" s="33"/>
      <c r="F192" s="33"/>
      <c r="G192" s="33"/>
      <c r="H192" s="33"/>
      <c r="I192" s="33"/>
    </row>
    <row r="193" spans="2:9" x14ac:dyDescent="0.3">
      <c r="B193" s="33"/>
      <c r="C193" s="33"/>
      <c r="D193" s="33"/>
      <c r="E193" s="33"/>
      <c r="F193" s="33"/>
      <c r="G193" s="33"/>
      <c r="H193" s="33"/>
      <c r="I193" s="33"/>
    </row>
    <row r="194" spans="2:9" x14ac:dyDescent="0.3">
      <c r="B194" s="33"/>
      <c r="C194" s="33"/>
      <c r="D194" s="33"/>
      <c r="E194" s="33"/>
      <c r="F194" s="33"/>
      <c r="G194" s="33"/>
      <c r="H194" s="33"/>
      <c r="I194" s="33"/>
    </row>
    <row r="195" spans="2:9" x14ac:dyDescent="0.3">
      <c r="B195" s="33"/>
      <c r="C195" s="33"/>
      <c r="D195" s="33"/>
      <c r="E195" s="33"/>
      <c r="F195" s="33"/>
      <c r="G195" s="33"/>
      <c r="H195" s="33"/>
      <c r="I195" s="33"/>
    </row>
    <row r="196" spans="2:9" x14ac:dyDescent="0.3">
      <c r="B196" s="33"/>
      <c r="C196" s="33"/>
      <c r="D196" s="33"/>
      <c r="E196" s="33"/>
      <c r="F196" s="33"/>
      <c r="G196" s="33"/>
      <c r="H196" s="33"/>
      <c r="I196" s="33"/>
    </row>
    <row r="197" spans="2:9" x14ac:dyDescent="0.3">
      <c r="B197" s="33"/>
      <c r="C197" s="33"/>
      <c r="D197" s="33"/>
      <c r="E197" s="33"/>
      <c r="F197" s="33"/>
      <c r="G197" s="33"/>
      <c r="H197" s="33"/>
      <c r="I197" s="33"/>
    </row>
    <row r="198" spans="2:9" x14ac:dyDescent="0.3">
      <c r="B198" s="33"/>
      <c r="C198" s="33"/>
      <c r="D198" s="33"/>
      <c r="E198" s="33"/>
      <c r="F198" s="33"/>
      <c r="G198" s="33"/>
      <c r="H198" s="33"/>
      <c r="I198" s="33"/>
    </row>
    <row r="199" spans="2:9" x14ac:dyDescent="0.3">
      <c r="B199" s="33"/>
      <c r="C199" s="33"/>
      <c r="D199" s="33"/>
      <c r="E199" s="33"/>
      <c r="F199" s="33"/>
      <c r="G199" s="33"/>
      <c r="H199" s="33"/>
      <c r="I199" s="33"/>
    </row>
    <row r="200" spans="2:9" x14ac:dyDescent="0.3">
      <c r="B200" s="33"/>
      <c r="C200" s="33"/>
      <c r="D200" s="33"/>
      <c r="E200" s="33"/>
      <c r="F200" s="33"/>
      <c r="G200" s="33"/>
      <c r="H200" s="33"/>
      <c r="I200" s="33"/>
    </row>
    <row r="201" spans="2:9" x14ac:dyDescent="0.3">
      <c r="B201" s="33"/>
      <c r="C201" s="33"/>
      <c r="D201" s="33"/>
      <c r="E201" s="33"/>
      <c r="F201" s="33"/>
      <c r="G201" s="33"/>
      <c r="H201" s="33"/>
      <c r="I201" s="33"/>
    </row>
    <row r="202" spans="2:9" x14ac:dyDescent="0.3">
      <c r="B202" s="33"/>
      <c r="C202" s="33"/>
      <c r="D202" s="33"/>
      <c r="E202" s="33"/>
      <c r="F202" s="33"/>
      <c r="G202" s="33"/>
      <c r="H202" s="33"/>
      <c r="I202" s="33"/>
    </row>
    <row r="203" spans="2:9" x14ac:dyDescent="0.3">
      <c r="B203" s="33"/>
      <c r="C203" s="33"/>
      <c r="D203" s="33"/>
      <c r="E203" s="33"/>
      <c r="F203" s="33"/>
      <c r="G203" s="33"/>
      <c r="H203" s="33"/>
      <c r="I203" s="33"/>
    </row>
    <row r="204" spans="2:9" x14ac:dyDescent="0.3">
      <c r="B204" s="33"/>
      <c r="C204" s="33"/>
      <c r="D204" s="33"/>
      <c r="E204" s="33"/>
      <c r="F204" s="33"/>
      <c r="G204" s="33"/>
      <c r="H204" s="33"/>
      <c r="I204" s="33"/>
    </row>
    <row r="205" spans="2:9" x14ac:dyDescent="0.3">
      <c r="B205" s="33"/>
      <c r="C205" s="33"/>
      <c r="D205" s="33"/>
      <c r="E205" s="33"/>
      <c r="F205" s="33"/>
      <c r="G205" s="33"/>
      <c r="H205" s="33"/>
      <c r="I205" s="33"/>
    </row>
    <row r="206" spans="2:9" x14ac:dyDescent="0.3">
      <c r="B206" s="33"/>
      <c r="C206" s="33"/>
      <c r="D206" s="33"/>
      <c r="E206" s="33"/>
      <c r="F206" s="33"/>
      <c r="G206" s="33"/>
      <c r="H206" s="33"/>
      <c r="I206" s="33"/>
    </row>
    <row r="207" spans="2:9" x14ac:dyDescent="0.3">
      <c r="B207" s="33"/>
      <c r="C207" s="33"/>
      <c r="D207" s="33"/>
      <c r="E207" s="33"/>
      <c r="F207" s="33"/>
      <c r="G207" s="33"/>
      <c r="H207" s="33"/>
      <c r="I207" s="33"/>
    </row>
    <row r="208" spans="2:9" x14ac:dyDescent="0.3">
      <c r="B208" s="33"/>
      <c r="C208" s="33"/>
      <c r="D208" s="33"/>
      <c r="E208" s="33"/>
      <c r="F208" s="33"/>
      <c r="G208" s="33"/>
      <c r="H208" s="33"/>
      <c r="I208" s="33"/>
    </row>
    <row r="209" spans="2:9" x14ac:dyDescent="0.3">
      <c r="B209" s="33"/>
      <c r="C209" s="33"/>
      <c r="D209" s="33"/>
      <c r="E209" s="33"/>
      <c r="F209" s="33"/>
      <c r="G209" s="33"/>
      <c r="H209" s="33"/>
      <c r="I209" s="33"/>
    </row>
    <row r="210" spans="2:9" x14ac:dyDescent="0.3">
      <c r="B210" s="33"/>
      <c r="C210" s="33"/>
      <c r="D210" s="33"/>
      <c r="E210" s="33"/>
      <c r="F210" s="33"/>
      <c r="G210" s="33"/>
      <c r="H210" s="33"/>
      <c r="I210" s="33"/>
    </row>
    <row r="211" spans="2:9" x14ac:dyDescent="0.3">
      <c r="B211" s="33"/>
      <c r="C211" s="33"/>
      <c r="D211" s="33"/>
      <c r="E211" s="33"/>
      <c r="F211" s="33"/>
      <c r="G211" s="33"/>
      <c r="H211" s="33"/>
      <c r="I211" s="33"/>
    </row>
    <row r="212" spans="2:9" x14ac:dyDescent="0.3">
      <c r="B212" s="33"/>
      <c r="C212" s="33"/>
      <c r="D212" s="33"/>
      <c r="E212" s="33"/>
      <c r="F212" s="33"/>
      <c r="G212" s="33"/>
      <c r="H212" s="33"/>
      <c r="I212" s="33"/>
    </row>
    <row r="213" spans="2:9" x14ac:dyDescent="0.3">
      <c r="B213" s="33"/>
      <c r="C213" s="33"/>
      <c r="D213" s="33"/>
      <c r="E213" s="33"/>
      <c r="F213" s="33"/>
      <c r="G213" s="33"/>
      <c r="H213" s="33"/>
      <c r="I213" s="33"/>
    </row>
    <row r="214" spans="2:9" x14ac:dyDescent="0.3">
      <c r="B214" s="33"/>
      <c r="C214" s="33"/>
      <c r="D214" s="33"/>
      <c r="E214" s="33"/>
      <c r="F214" s="33"/>
      <c r="G214" s="33"/>
      <c r="H214" s="33"/>
      <c r="I214" s="33"/>
    </row>
    <row r="215" spans="2:9" x14ac:dyDescent="0.3">
      <c r="B215" s="33"/>
      <c r="C215" s="33"/>
      <c r="D215" s="33"/>
      <c r="E215" s="33"/>
      <c r="F215" s="33"/>
      <c r="G215" s="33"/>
      <c r="H215" s="33"/>
      <c r="I215" s="33"/>
    </row>
    <row r="216" spans="2:9" x14ac:dyDescent="0.3">
      <c r="B216" s="33"/>
      <c r="C216" s="33"/>
      <c r="D216" s="33"/>
      <c r="E216" s="33"/>
      <c r="F216" s="33"/>
      <c r="G216" s="33"/>
      <c r="H216" s="33"/>
      <c r="I216" s="33"/>
    </row>
    <row r="217" spans="2:9" x14ac:dyDescent="0.3">
      <c r="B217" s="33"/>
      <c r="C217" s="33"/>
      <c r="D217" s="33"/>
      <c r="E217" s="33"/>
      <c r="F217" s="33"/>
      <c r="G217" s="33"/>
      <c r="H217" s="33"/>
      <c r="I217" s="33"/>
    </row>
    <row r="218" spans="2:9" x14ac:dyDescent="0.3">
      <c r="B218" s="33"/>
      <c r="C218" s="33"/>
      <c r="D218" s="33"/>
      <c r="E218" s="33"/>
      <c r="F218" s="33"/>
      <c r="G218" s="33"/>
      <c r="H218" s="33"/>
      <c r="I218" s="33"/>
    </row>
    <row r="219" spans="2:9" x14ac:dyDescent="0.3">
      <c r="B219" s="33"/>
      <c r="C219" s="33"/>
      <c r="D219" s="33"/>
      <c r="E219" s="33"/>
      <c r="F219" s="33"/>
      <c r="G219" s="33"/>
      <c r="H219" s="33"/>
      <c r="I219" s="33"/>
    </row>
    <row r="220" spans="2:9" x14ac:dyDescent="0.3">
      <c r="B220" s="33"/>
      <c r="C220" s="33"/>
      <c r="D220" s="33"/>
      <c r="E220" s="33"/>
      <c r="F220" s="33"/>
      <c r="G220" s="33"/>
      <c r="H220" s="33"/>
      <c r="I220" s="33"/>
    </row>
    <row r="221" spans="2:9" x14ac:dyDescent="0.3">
      <c r="B221" s="33"/>
      <c r="C221" s="33"/>
      <c r="D221" s="33"/>
      <c r="E221" s="33"/>
      <c r="F221" s="33"/>
      <c r="G221" s="33"/>
      <c r="H221" s="33"/>
      <c r="I221" s="33"/>
    </row>
    <row r="222" spans="2:9" x14ac:dyDescent="0.3">
      <c r="B222" s="33"/>
      <c r="C222" s="33"/>
      <c r="D222" s="33"/>
      <c r="E222" s="33"/>
      <c r="F222" s="33"/>
      <c r="G222" s="33"/>
      <c r="H222" s="33"/>
      <c r="I222" s="33"/>
    </row>
    <row r="223" spans="2:9" x14ac:dyDescent="0.3">
      <c r="B223" s="33"/>
      <c r="C223" s="33"/>
      <c r="D223" s="33"/>
      <c r="E223" s="33"/>
      <c r="F223" s="33"/>
      <c r="G223" s="33"/>
      <c r="H223" s="33"/>
      <c r="I223" s="33"/>
    </row>
    <row r="1048429" s="3" customFormat="1" x14ac:dyDescent="0.3"/>
  </sheetData>
  <phoneticPr fontId="0" type="noConversion"/>
  <pageMargins left="0.75" right="0.75" top="1" bottom="1" header="0.5" footer="0.5"/>
  <pageSetup orientation="portrait"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E72"/>
  <sheetViews>
    <sheetView showGridLines="0" workbookViewId="0">
      <selection activeCell="A2" sqref="A2"/>
    </sheetView>
  </sheetViews>
  <sheetFormatPr defaultColWidth="9" defaultRowHeight="14.25" x14ac:dyDescent="0.2"/>
  <cols>
    <col min="1" max="1" width="3.875" style="33" customWidth="1"/>
    <col min="2" max="2" width="9" style="33"/>
    <col min="3" max="3" width="17.875" style="33" customWidth="1"/>
    <col min="4" max="4" width="27.5" style="33" bestFit="1" customWidth="1"/>
    <col min="5" max="5" width="20.75" style="33" bestFit="1" customWidth="1"/>
    <col min="6" max="10" width="9" style="33"/>
    <col min="11" max="11" width="12.5" style="33" bestFit="1" customWidth="1"/>
    <col min="12" max="16384" width="9" style="33"/>
  </cols>
  <sheetData>
    <row r="2" spans="2:5" ht="15" x14ac:dyDescent="0.25">
      <c r="B2" s="36" t="s">
        <v>199</v>
      </c>
    </row>
    <row r="3" spans="2:5" ht="15" x14ac:dyDescent="0.25">
      <c r="B3" s="36" t="s">
        <v>189</v>
      </c>
    </row>
    <row r="4" spans="2:5" ht="15" x14ac:dyDescent="0.25">
      <c r="B4" s="36"/>
    </row>
    <row r="5" spans="2:5" ht="15" x14ac:dyDescent="0.25">
      <c r="B5" s="36"/>
    </row>
    <row r="6" spans="2:5" ht="15" x14ac:dyDescent="0.25">
      <c r="B6" s="36"/>
    </row>
    <row r="7" spans="2:5" ht="20.25" x14ac:dyDescent="0.3">
      <c r="B7" s="26" t="s">
        <v>163</v>
      </c>
    </row>
    <row r="8" spans="2:5" ht="15" x14ac:dyDescent="0.2">
      <c r="B8" s="63" t="s">
        <v>111</v>
      </c>
    </row>
    <row r="10" spans="2:5" ht="16.5" thickBot="1" x14ac:dyDescent="0.3">
      <c r="C10" s="39" t="s">
        <v>164</v>
      </c>
    </row>
    <row r="11" spans="2:5" ht="15.75" thickBot="1" x14ac:dyDescent="0.3">
      <c r="C11" s="64" t="s">
        <v>48</v>
      </c>
      <c r="D11" s="65" t="s">
        <v>52</v>
      </c>
      <c r="E11" s="66" t="s">
        <v>49</v>
      </c>
    </row>
    <row r="12" spans="2:5" x14ac:dyDescent="0.2">
      <c r="C12" s="41" t="s">
        <v>53</v>
      </c>
      <c r="D12" s="71" t="s">
        <v>155</v>
      </c>
      <c r="E12" s="43">
        <v>200</v>
      </c>
    </row>
    <row r="13" spans="2:5" x14ac:dyDescent="0.2">
      <c r="C13" s="44" t="s">
        <v>54</v>
      </c>
      <c r="D13" s="67" t="s">
        <v>156</v>
      </c>
      <c r="E13" s="45">
        <v>150</v>
      </c>
    </row>
    <row r="14" spans="2:5" ht="15" thickBot="1" x14ac:dyDescent="0.25">
      <c r="C14" s="46" t="s">
        <v>55</v>
      </c>
      <c r="D14" s="72" t="s">
        <v>157</v>
      </c>
      <c r="E14" s="48">
        <v>95</v>
      </c>
    </row>
    <row r="17" spans="3:5" ht="16.5" thickBot="1" x14ac:dyDescent="0.3">
      <c r="C17" s="39" t="s">
        <v>80</v>
      </c>
    </row>
    <row r="18" spans="3:5" ht="15.75" thickBot="1" x14ac:dyDescent="0.3">
      <c r="C18" s="64" t="s">
        <v>50</v>
      </c>
      <c r="D18" s="65" t="s">
        <v>51</v>
      </c>
    </row>
    <row r="19" spans="3:5" x14ac:dyDescent="0.2">
      <c r="C19" s="41" t="s">
        <v>74</v>
      </c>
      <c r="D19" s="49" t="s">
        <v>62</v>
      </c>
    </row>
    <row r="20" spans="3:5" x14ac:dyDescent="0.2">
      <c r="C20" s="44" t="s">
        <v>76</v>
      </c>
      <c r="D20" s="50" t="s">
        <v>64</v>
      </c>
    </row>
    <row r="21" spans="3:5" x14ac:dyDescent="0.2">
      <c r="C21" s="44" t="s">
        <v>75</v>
      </c>
      <c r="D21" s="50" t="s">
        <v>65</v>
      </c>
    </row>
    <row r="22" spans="3:5" x14ac:dyDescent="0.2">
      <c r="C22" s="44" t="s">
        <v>67</v>
      </c>
      <c r="D22" s="50" t="s">
        <v>57</v>
      </c>
    </row>
    <row r="23" spans="3:5" x14ac:dyDescent="0.2">
      <c r="C23" s="44" t="s">
        <v>68</v>
      </c>
      <c r="D23" s="50" t="s">
        <v>56</v>
      </c>
    </row>
    <row r="24" spans="3:5" x14ac:dyDescent="0.2">
      <c r="C24" s="44" t="s">
        <v>69</v>
      </c>
      <c r="D24" s="50" t="s">
        <v>58</v>
      </c>
    </row>
    <row r="25" spans="3:5" x14ac:dyDescent="0.2">
      <c r="C25" s="44" t="s">
        <v>70</v>
      </c>
      <c r="D25" s="50" t="s">
        <v>59</v>
      </c>
    </row>
    <row r="26" spans="3:5" x14ac:dyDescent="0.2">
      <c r="C26" s="44" t="s">
        <v>71</v>
      </c>
      <c r="D26" s="50" t="s">
        <v>60</v>
      </c>
    </row>
    <row r="27" spans="3:5" x14ac:dyDescent="0.2">
      <c r="C27" s="44" t="s">
        <v>72</v>
      </c>
      <c r="D27" s="50" t="s">
        <v>61</v>
      </c>
    </row>
    <row r="28" spans="3:5" ht="15" thickBot="1" x14ac:dyDescent="0.25">
      <c r="C28" s="46" t="s">
        <v>73</v>
      </c>
      <c r="D28" s="51" t="s">
        <v>63</v>
      </c>
    </row>
    <row r="29" spans="3:5" x14ac:dyDescent="0.2">
      <c r="D29" s="34"/>
    </row>
    <row r="31" spans="3:5" ht="16.5" thickBot="1" x14ac:dyDescent="0.3">
      <c r="C31" s="39" t="s">
        <v>81</v>
      </c>
    </row>
    <row r="32" spans="3:5" ht="15.75" thickBot="1" x14ac:dyDescent="0.3">
      <c r="C32" s="64" t="s">
        <v>5</v>
      </c>
      <c r="D32" s="65" t="s">
        <v>6</v>
      </c>
      <c r="E32" s="79" t="s">
        <v>7</v>
      </c>
    </row>
    <row r="33" spans="3:5" x14ac:dyDescent="0.2">
      <c r="C33" s="52">
        <v>1</v>
      </c>
      <c r="D33" s="42" t="s">
        <v>8</v>
      </c>
      <c r="E33" s="78" t="s">
        <v>155</v>
      </c>
    </row>
    <row r="34" spans="3:5" x14ac:dyDescent="0.2">
      <c r="C34" s="53">
        <v>2</v>
      </c>
      <c r="D34" s="33" t="s">
        <v>9</v>
      </c>
      <c r="E34" s="78" t="s">
        <v>156</v>
      </c>
    </row>
    <row r="35" spans="3:5" x14ac:dyDescent="0.2">
      <c r="C35" s="53">
        <v>3</v>
      </c>
      <c r="D35" s="33" t="s">
        <v>10</v>
      </c>
      <c r="E35" s="78" t="s">
        <v>157</v>
      </c>
    </row>
    <row r="36" spans="3:5" x14ac:dyDescent="0.2">
      <c r="C36" s="53">
        <v>4</v>
      </c>
      <c r="D36" s="33" t="s">
        <v>11</v>
      </c>
      <c r="E36" s="78" t="s">
        <v>155</v>
      </c>
    </row>
    <row r="37" spans="3:5" x14ac:dyDescent="0.2">
      <c r="C37" s="53">
        <v>5</v>
      </c>
      <c r="D37" s="33" t="s">
        <v>12</v>
      </c>
      <c r="E37" s="78" t="s">
        <v>156</v>
      </c>
    </row>
    <row r="38" spans="3:5" x14ac:dyDescent="0.2">
      <c r="C38" s="53">
        <v>6</v>
      </c>
      <c r="D38" s="33" t="s">
        <v>13</v>
      </c>
      <c r="E38" s="78" t="s">
        <v>157</v>
      </c>
    </row>
    <row r="39" spans="3:5" x14ac:dyDescent="0.2">
      <c r="C39" s="53">
        <v>7</v>
      </c>
      <c r="D39" s="33" t="s">
        <v>14</v>
      </c>
      <c r="E39" s="78" t="s">
        <v>155</v>
      </c>
    </row>
    <row r="40" spans="3:5" x14ac:dyDescent="0.2">
      <c r="C40" s="53">
        <v>8</v>
      </c>
      <c r="D40" s="33" t="s">
        <v>15</v>
      </c>
      <c r="E40" s="78" t="s">
        <v>156</v>
      </c>
    </row>
    <row r="41" spans="3:5" x14ac:dyDescent="0.2">
      <c r="C41" s="53">
        <v>9</v>
      </c>
      <c r="D41" s="33" t="s">
        <v>16</v>
      </c>
      <c r="E41" s="78" t="s">
        <v>157</v>
      </c>
    </row>
    <row r="42" spans="3:5" x14ac:dyDescent="0.2">
      <c r="C42" s="53">
        <v>10</v>
      </c>
      <c r="D42" s="33" t="s">
        <v>17</v>
      </c>
      <c r="E42" s="78" t="s">
        <v>155</v>
      </c>
    </row>
    <row r="43" spans="3:5" x14ac:dyDescent="0.2">
      <c r="C43" s="53">
        <v>11</v>
      </c>
      <c r="D43" s="33" t="s">
        <v>18</v>
      </c>
      <c r="E43" s="78" t="s">
        <v>156</v>
      </c>
    </row>
    <row r="44" spans="3:5" x14ac:dyDescent="0.2">
      <c r="C44" s="53">
        <v>12</v>
      </c>
      <c r="D44" s="33" t="s">
        <v>19</v>
      </c>
      <c r="E44" s="78" t="s">
        <v>157</v>
      </c>
    </row>
    <row r="45" spans="3:5" x14ac:dyDescent="0.2">
      <c r="C45" s="53">
        <v>13</v>
      </c>
      <c r="D45" s="33" t="s">
        <v>20</v>
      </c>
      <c r="E45" s="78" t="s">
        <v>155</v>
      </c>
    </row>
    <row r="46" spans="3:5" x14ac:dyDescent="0.2">
      <c r="C46" s="53">
        <v>14</v>
      </c>
      <c r="D46" s="33" t="s">
        <v>21</v>
      </c>
      <c r="E46" s="78" t="s">
        <v>156</v>
      </c>
    </row>
    <row r="47" spans="3:5" x14ac:dyDescent="0.2">
      <c r="C47" s="53">
        <v>15</v>
      </c>
      <c r="D47" s="33" t="s">
        <v>22</v>
      </c>
      <c r="E47" s="78" t="s">
        <v>157</v>
      </c>
    </row>
    <row r="48" spans="3:5" x14ac:dyDescent="0.2">
      <c r="C48" s="53">
        <v>16</v>
      </c>
      <c r="D48" s="33" t="s">
        <v>23</v>
      </c>
      <c r="E48" s="78" t="s">
        <v>155</v>
      </c>
    </row>
    <row r="49" spans="3:5" x14ac:dyDescent="0.2">
      <c r="C49" s="53">
        <v>17</v>
      </c>
      <c r="D49" s="33" t="s">
        <v>24</v>
      </c>
      <c r="E49" s="78" t="s">
        <v>156</v>
      </c>
    </row>
    <row r="50" spans="3:5" x14ac:dyDescent="0.2">
      <c r="C50" s="53">
        <v>18</v>
      </c>
      <c r="D50" s="33" t="s">
        <v>25</v>
      </c>
      <c r="E50" s="78" t="s">
        <v>157</v>
      </c>
    </row>
    <row r="51" spans="3:5" x14ac:dyDescent="0.2">
      <c r="C51" s="53">
        <v>19</v>
      </c>
      <c r="D51" s="33" t="s">
        <v>26</v>
      </c>
      <c r="E51" s="78" t="s">
        <v>155</v>
      </c>
    </row>
    <row r="52" spans="3:5" x14ac:dyDescent="0.2">
      <c r="C52" s="53">
        <v>20</v>
      </c>
      <c r="D52" s="33" t="s">
        <v>27</v>
      </c>
      <c r="E52" s="78" t="s">
        <v>156</v>
      </c>
    </row>
    <row r="53" spans="3:5" x14ac:dyDescent="0.2">
      <c r="C53" s="53">
        <v>21</v>
      </c>
      <c r="D53" s="33" t="s">
        <v>28</v>
      </c>
      <c r="E53" s="78" t="s">
        <v>157</v>
      </c>
    </row>
    <row r="54" spans="3:5" x14ac:dyDescent="0.2">
      <c r="C54" s="53">
        <v>22</v>
      </c>
      <c r="D54" s="33" t="s">
        <v>29</v>
      </c>
      <c r="E54" s="78" t="s">
        <v>155</v>
      </c>
    </row>
    <row r="55" spans="3:5" x14ac:dyDescent="0.2">
      <c r="C55" s="53">
        <v>23</v>
      </c>
      <c r="D55" s="33" t="s">
        <v>30</v>
      </c>
      <c r="E55" s="78" t="s">
        <v>156</v>
      </c>
    </row>
    <row r="56" spans="3:5" x14ac:dyDescent="0.2">
      <c r="C56" s="53">
        <v>24</v>
      </c>
      <c r="D56" s="33" t="s">
        <v>31</v>
      </c>
      <c r="E56" s="78" t="s">
        <v>157</v>
      </c>
    </row>
    <row r="57" spans="3:5" x14ac:dyDescent="0.2">
      <c r="C57" s="53">
        <v>25</v>
      </c>
      <c r="D57" s="33" t="s">
        <v>32</v>
      </c>
      <c r="E57" s="78" t="s">
        <v>155</v>
      </c>
    </row>
    <row r="58" spans="3:5" x14ac:dyDescent="0.2">
      <c r="C58" s="53">
        <v>26</v>
      </c>
      <c r="D58" s="33" t="s">
        <v>33</v>
      </c>
      <c r="E58" s="78" t="s">
        <v>156</v>
      </c>
    </row>
    <row r="59" spans="3:5" x14ac:dyDescent="0.2">
      <c r="C59" s="53">
        <v>27</v>
      </c>
      <c r="D59" s="33" t="s">
        <v>34</v>
      </c>
      <c r="E59" s="78" t="s">
        <v>157</v>
      </c>
    </row>
    <row r="60" spans="3:5" x14ac:dyDescent="0.2">
      <c r="C60" s="53">
        <v>28</v>
      </c>
      <c r="D60" s="33" t="s">
        <v>35</v>
      </c>
      <c r="E60" s="78" t="s">
        <v>155</v>
      </c>
    </row>
    <row r="61" spans="3:5" x14ac:dyDescent="0.2">
      <c r="C61" s="53">
        <v>29</v>
      </c>
      <c r="D61" s="33" t="s">
        <v>36</v>
      </c>
      <c r="E61" s="78" t="s">
        <v>156</v>
      </c>
    </row>
    <row r="62" spans="3:5" x14ac:dyDescent="0.2">
      <c r="C62" s="53">
        <v>30</v>
      </c>
      <c r="D62" s="33" t="s">
        <v>37</v>
      </c>
      <c r="E62" s="78" t="s">
        <v>157</v>
      </c>
    </row>
    <row r="63" spans="3:5" x14ac:dyDescent="0.2">
      <c r="C63" s="53">
        <v>31</v>
      </c>
      <c r="D63" s="33" t="s">
        <v>38</v>
      </c>
      <c r="E63" s="78" t="s">
        <v>155</v>
      </c>
    </row>
    <row r="64" spans="3:5" x14ac:dyDescent="0.2">
      <c r="C64" s="53">
        <v>32</v>
      </c>
      <c r="D64" s="33" t="s">
        <v>39</v>
      </c>
      <c r="E64" s="78" t="s">
        <v>156</v>
      </c>
    </row>
    <row r="65" spans="3:5" x14ac:dyDescent="0.2">
      <c r="C65" s="53">
        <v>33</v>
      </c>
      <c r="D65" s="33" t="s">
        <v>40</v>
      </c>
      <c r="E65" s="78" t="s">
        <v>157</v>
      </c>
    </row>
    <row r="66" spans="3:5" x14ac:dyDescent="0.2">
      <c r="C66" s="53">
        <v>34</v>
      </c>
      <c r="D66" s="33" t="s">
        <v>41</v>
      </c>
      <c r="E66" s="78" t="s">
        <v>155</v>
      </c>
    </row>
    <row r="67" spans="3:5" x14ac:dyDescent="0.2">
      <c r="C67" s="53">
        <v>35</v>
      </c>
      <c r="D67" s="33" t="s">
        <v>42</v>
      </c>
      <c r="E67" s="78" t="s">
        <v>156</v>
      </c>
    </row>
    <row r="68" spans="3:5" x14ac:dyDescent="0.2">
      <c r="C68" s="53">
        <v>36</v>
      </c>
      <c r="D68" s="33" t="s">
        <v>43</v>
      </c>
      <c r="E68" s="78" t="s">
        <v>157</v>
      </c>
    </row>
    <row r="69" spans="3:5" x14ac:dyDescent="0.2">
      <c r="C69" s="53">
        <v>37</v>
      </c>
      <c r="D69" s="33" t="s">
        <v>44</v>
      </c>
      <c r="E69" s="78" t="s">
        <v>155</v>
      </c>
    </row>
    <row r="70" spans="3:5" x14ac:dyDescent="0.2">
      <c r="C70" s="53">
        <v>38</v>
      </c>
      <c r="D70" s="33" t="s">
        <v>45</v>
      </c>
      <c r="E70" s="78" t="s">
        <v>156</v>
      </c>
    </row>
    <row r="71" spans="3:5" x14ac:dyDescent="0.2">
      <c r="C71" s="53">
        <v>39</v>
      </c>
      <c r="D71" s="33" t="s">
        <v>46</v>
      </c>
      <c r="E71" s="78" t="s">
        <v>157</v>
      </c>
    </row>
    <row r="72" spans="3:5" ht="15" thickBot="1" x14ac:dyDescent="0.25">
      <c r="C72" s="54">
        <v>40</v>
      </c>
      <c r="D72" s="47" t="s">
        <v>47</v>
      </c>
      <c r="E72" s="80" t="s">
        <v>155</v>
      </c>
    </row>
  </sheetData>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R161"/>
  <sheetViews>
    <sheetView showGridLines="0" zoomScaleNormal="100" workbookViewId="0">
      <selection activeCell="F27" sqref="F27"/>
    </sheetView>
  </sheetViews>
  <sheetFormatPr defaultColWidth="9" defaultRowHeight="14.25" x14ac:dyDescent="0.2"/>
  <cols>
    <col min="1" max="1" width="3.875" style="67" customWidth="1"/>
    <col min="2" max="2" width="22.25" style="33" customWidth="1"/>
    <col min="3" max="3" width="13.75" style="33" customWidth="1"/>
    <col min="4" max="4" width="22.25" style="33" customWidth="1"/>
    <col min="5" max="5" width="10.5" style="33" customWidth="1"/>
    <col min="6" max="6" width="12.375" style="33" customWidth="1"/>
    <col min="7" max="7" width="12.5" style="33" customWidth="1"/>
    <col min="8" max="8" width="9" style="33"/>
    <col min="9" max="9" width="19.625" style="33" bestFit="1" customWidth="1"/>
    <col min="10" max="10" width="13.25" style="33" bestFit="1" customWidth="1"/>
    <col min="11" max="11" width="9" style="33"/>
    <col min="12" max="12" width="22.25" style="33" bestFit="1" customWidth="1"/>
    <col min="13" max="16384" width="9" style="33"/>
  </cols>
  <sheetData>
    <row r="1" spans="1:18" x14ac:dyDescent="0.2">
      <c r="A1" s="33"/>
    </row>
    <row r="2" spans="1:18" ht="15" x14ac:dyDescent="0.25">
      <c r="B2" s="36" t="s">
        <v>199</v>
      </c>
    </row>
    <row r="3" spans="1:18" ht="15" x14ac:dyDescent="0.25">
      <c r="B3" s="36" t="s">
        <v>188</v>
      </c>
    </row>
    <row r="4" spans="1:18" x14ac:dyDescent="0.2">
      <c r="I4"/>
    </row>
    <row r="5" spans="1:18" ht="15" thickBot="1" x14ac:dyDescent="0.25"/>
    <row r="6" spans="1:18" ht="97.5" customHeight="1" x14ac:dyDescent="0.2">
      <c r="B6" s="156" t="s">
        <v>163</v>
      </c>
      <c r="C6" s="157"/>
      <c r="D6" s="157"/>
      <c r="E6" s="157"/>
      <c r="F6" s="157"/>
      <c r="G6" s="158"/>
    </row>
    <row r="7" spans="1:18" x14ac:dyDescent="0.2">
      <c r="B7" s="159">
        <f ca="1">NOW()</f>
        <v>45859.690820601849</v>
      </c>
      <c r="C7" s="160"/>
      <c r="D7" s="160"/>
      <c r="E7" s="160"/>
      <c r="F7" s="160"/>
      <c r="G7" s="161"/>
    </row>
    <row r="8" spans="1:18" ht="15" thickBot="1" x14ac:dyDescent="0.25">
      <c r="B8" s="56"/>
      <c r="C8" s="47"/>
      <c r="D8" s="47"/>
      <c r="E8" s="47"/>
      <c r="F8" s="47"/>
      <c r="G8" s="51"/>
    </row>
    <row r="9" spans="1:18" ht="36.75" customHeight="1" thickBot="1" x14ac:dyDescent="0.25">
      <c r="B9" s="102" t="s">
        <v>66</v>
      </c>
      <c r="C9" s="103" t="s">
        <v>5</v>
      </c>
      <c r="D9" s="103" t="s">
        <v>51</v>
      </c>
      <c r="E9" s="103" t="s">
        <v>50</v>
      </c>
      <c r="F9" s="104" t="s">
        <v>0</v>
      </c>
      <c r="G9" s="105" t="s">
        <v>3</v>
      </c>
    </row>
    <row r="10" spans="1:18" x14ac:dyDescent="0.2">
      <c r="B10" s="22"/>
      <c r="C10" s="22"/>
      <c r="D10" s="22"/>
      <c r="E10" s="22"/>
      <c r="F10" s="22"/>
      <c r="G10" s="22"/>
    </row>
    <row r="11" spans="1:18" x14ac:dyDescent="0.2">
      <c r="B11" s="22"/>
      <c r="C11" s="22"/>
      <c r="D11" s="22"/>
      <c r="E11" s="22"/>
      <c r="F11" s="22"/>
      <c r="G11" s="22"/>
    </row>
    <row r="12" spans="1:18" x14ac:dyDescent="0.2">
      <c r="B12" s="22"/>
      <c r="C12" s="22"/>
      <c r="D12" s="22"/>
      <c r="E12" s="22"/>
      <c r="F12" s="22"/>
      <c r="G12" s="22"/>
      <c r="I12" s="57"/>
      <c r="J12" s="57"/>
      <c r="K12" s="57"/>
      <c r="L12" s="57"/>
      <c r="M12" s="57"/>
      <c r="N12" s="57"/>
      <c r="O12" s="57"/>
      <c r="P12" s="57"/>
      <c r="Q12" s="57"/>
      <c r="R12" s="57"/>
    </row>
    <row r="13" spans="1:18" x14ac:dyDescent="0.2">
      <c r="B13" s="22"/>
      <c r="C13" s="22"/>
      <c r="D13" s="22"/>
      <c r="E13" s="22"/>
      <c r="F13" s="22"/>
      <c r="G13" s="22"/>
      <c r="I13" s="57"/>
      <c r="J13" s="57"/>
      <c r="K13" s="57"/>
      <c r="L13" s="57"/>
      <c r="M13" s="57"/>
      <c r="N13" s="57"/>
      <c r="O13" s="57"/>
      <c r="P13" s="57"/>
      <c r="Q13" s="57"/>
      <c r="R13" s="57"/>
    </row>
    <row r="14" spans="1:18" x14ac:dyDescent="0.2">
      <c r="B14" s="22"/>
      <c r="C14" s="22"/>
      <c r="D14" s="22"/>
      <c r="E14" s="22"/>
      <c r="F14" s="22"/>
      <c r="G14" s="22"/>
      <c r="I14" s="57"/>
      <c r="J14" s="58"/>
      <c r="K14" s="34"/>
      <c r="L14" s="34"/>
      <c r="M14" s="59"/>
      <c r="N14" s="60"/>
    </row>
    <row r="15" spans="1:18" x14ac:dyDescent="0.2">
      <c r="B15" s="22"/>
      <c r="C15" s="22"/>
      <c r="D15" s="22"/>
      <c r="E15" s="22"/>
      <c r="F15" s="22"/>
      <c r="G15" s="22"/>
      <c r="I15" s="57"/>
      <c r="J15" s="58"/>
      <c r="K15" s="34"/>
      <c r="L15" s="34"/>
      <c r="M15" s="59"/>
      <c r="N15" s="60"/>
    </row>
    <row r="16" spans="1:18" x14ac:dyDescent="0.2">
      <c r="B16" s="22"/>
      <c r="C16" s="22"/>
      <c r="D16" s="22"/>
      <c r="E16" s="22"/>
      <c r="F16" s="22"/>
      <c r="G16" s="22"/>
      <c r="I16" s="57"/>
      <c r="J16" s="58"/>
      <c r="K16" s="34"/>
      <c r="L16" s="34"/>
      <c r="M16" s="59"/>
      <c r="N16" s="60"/>
    </row>
    <row r="17" spans="2:14" x14ac:dyDescent="0.2">
      <c r="B17" s="22"/>
      <c r="C17" s="22"/>
      <c r="D17" s="22"/>
      <c r="E17" s="22"/>
      <c r="F17" s="22"/>
      <c r="G17" s="22"/>
      <c r="I17" s="57"/>
      <c r="J17" s="58"/>
      <c r="K17" s="34"/>
      <c r="L17" s="34"/>
      <c r="M17" s="59"/>
      <c r="N17" s="60"/>
    </row>
    <row r="18" spans="2:14" x14ac:dyDescent="0.2">
      <c r="B18" s="22"/>
      <c r="C18" s="22"/>
      <c r="D18" s="22"/>
      <c r="E18" s="22"/>
      <c r="F18" s="22"/>
      <c r="G18" s="22"/>
      <c r="I18" s="57"/>
      <c r="J18" s="58"/>
      <c r="K18" s="34"/>
      <c r="L18" s="34"/>
      <c r="M18" s="59"/>
      <c r="N18" s="60"/>
    </row>
    <row r="19" spans="2:14" x14ac:dyDescent="0.2">
      <c r="B19" s="22"/>
      <c r="C19" s="22"/>
      <c r="D19" s="22"/>
      <c r="E19" s="22"/>
      <c r="F19" s="22"/>
      <c r="G19" s="22"/>
      <c r="I19" s="57"/>
      <c r="J19" s="58"/>
      <c r="K19" s="34"/>
      <c r="L19" s="34"/>
      <c r="M19" s="59"/>
      <c r="N19" s="60"/>
    </row>
    <row r="20" spans="2:14" x14ac:dyDescent="0.2">
      <c r="B20" s="22"/>
      <c r="C20" s="22"/>
      <c r="D20" s="22"/>
      <c r="E20" s="22"/>
      <c r="F20" s="22"/>
      <c r="G20" s="22"/>
      <c r="I20" s="57"/>
      <c r="J20" s="58"/>
      <c r="K20" s="34"/>
      <c r="L20" s="34"/>
      <c r="M20" s="59"/>
      <c r="N20" s="60"/>
    </row>
    <row r="21" spans="2:14" x14ac:dyDescent="0.2">
      <c r="B21" s="22"/>
      <c r="C21" s="22"/>
      <c r="D21" s="22"/>
      <c r="E21" s="22"/>
      <c r="F21" s="22"/>
      <c r="G21" s="22"/>
    </row>
    <row r="22" spans="2:14" x14ac:dyDescent="0.2">
      <c r="B22" s="22"/>
      <c r="C22" s="22"/>
      <c r="D22" s="22"/>
      <c r="E22" s="22"/>
      <c r="F22" s="22"/>
      <c r="G22" s="22"/>
    </row>
    <row r="23" spans="2:14" x14ac:dyDescent="0.2">
      <c r="B23" s="22"/>
      <c r="C23" s="22"/>
      <c r="D23" s="22"/>
      <c r="E23" s="22"/>
      <c r="F23" s="22"/>
      <c r="G23" s="22"/>
    </row>
    <row r="24" spans="2:14" x14ac:dyDescent="0.2">
      <c r="B24" s="22"/>
      <c r="C24" s="22"/>
      <c r="D24" s="22"/>
      <c r="E24" s="22"/>
      <c r="F24" s="22"/>
      <c r="G24" s="22"/>
    </row>
    <row r="25" spans="2:14" x14ac:dyDescent="0.2">
      <c r="B25" s="22"/>
      <c r="C25" s="22"/>
      <c r="D25" s="22"/>
      <c r="E25" s="22"/>
      <c r="F25" s="22"/>
      <c r="G25" s="22"/>
    </row>
    <row r="26" spans="2:14" x14ac:dyDescent="0.2">
      <c r="B26" s="22"/>
      <c r="C26" s="22"/>
      <c r="D26" s="22"/>
      <c r="E26" s="22"/>
      <c r="F26" s="22"/>
      <c r="G26" s="22"/>
    </row>
    <row r="27" spans="2:14" x14ac:dyDescent="0.2">
      <c r="B27" s="22"/>
      <c r="C27" s="22"/>
      <c r="D27" s="22"/>
      <c r="E27" s="22"/>
      <c r="F27" s="22"/>
      <c r="G27" s="22"/>
    </row>
    <row r="28" spans="2:14" x14ac:dyDescent="0.2">
      <c r="B28" s="22"/>
      <c r="C28" s="22"/>
      <c r="D28" s="22"/>
      <c r="E28" s="22"/>
      <c r="F28" s="22"/>
      <c r="G28" s="22"/>
    </row>
    <row r="29" spans="2:14" x14ac:dyDescent="0.2">
      <c r="B29" s="22"/>
      <c r="C29" s="22"/>
      <c r="D29" s="22"/>
      <c r="E29" s="22"/>
      <c r="F29" s="22"/>
      <c r="G29" s="22"/>
    </row>
    <row r="30" spans="2:14" x14ac:dyDescent="0.2">
      <c r="B30" s="22"/>
      <c r="C30" s="22"/>
      <c r="D30" s="22"/>
      <c r="E30" s="22"/>
      <c r="F30" s="22"/>
      <c r="G30" s="22"/>
    </row>
    <row r="31" spans="2:14" x14ac:dyDescent="0.2">
      <c r="B31" s="22"/>
      <c r="C31" s="22"/>
      <c r="D31" s="22"/>
      <c r="E31" s="22"/>
      <c r="F31" s="22"/>
      <c r="G31" s="22"/>
    </row>
    <row r="32" spans="2:14" x14ac:dyDescent="0.2">
      <c r="B32" s="22"/>
      <c r="C32" s="22"/>
      <c r="D32" s="22"/>
      <c r="E32" s="22"/>
      <c r="F32" s="22"/>
      <c r="G32" s="22"/>
    </row>
    <row r="33" spans="2:7" x14ac:dyDescent="0.2">
      <c r="B33" s="22"/>
      <c r="C33" s="22"/>
      <c r="D33" s="22"/>
      <c r="E33" s="22"/>
      <c r="F33" s="22"/>
      <c r="G33" s="22"/>
    </row>
    <row r="34" spans="2:7" x14ac:dyDescent="0.2">
      <c r="B34" s="22"/>
      <c r="C34" s="22"/>
      <c r="D34" s="22"/>
      <c r="E34" s="22"/>
      <c r="F34" s="22"/>
      <c r="G34" s="22"/>
    </row>
    <row r="35" spans="2:7" x14ac:dyDescent="0.2">
      <c r="B35" s="22"/>
      <c r="C35" s="22"/>
      <c r="D35" s="22"/>
      <c r="E35" s="22"/>
      <c r="F35" s="22"/>
      <c r="G35" s="22"/>
    </row>
    <row r="36" spans="2:7" x14ac:dyDescent="0.2">
      <c r="B36" s="22"/>
      <c r="C36" s="22"/>
      <c r="D36" s="22"/>
      <c r="E36" s="22"/>
      <c r="F36" s="22"/>
      <c r="G36" s="22"/>
    </row>
    <row r="37" spans="2:7" x14ac:dyDescent="0.2">
      <c r="B37" s="22"/>
      <c r="C37" s="22"/>
      <c r="D37" s="22"/>
      <c r="E37" s="22"/>
      <c r="F37" s="22"/>
      <c r="G37" s="22"/>
    </row>
    <row r="38" spans="2:7" x14ac:dyDescent="0.2">
      <c r="B38" s="22"/>
      <c r="C38" s="22"/>
      <c r="D38" s="22"/>
      <c r="E38" s="22"/>
      <c r="F38" s="22"/>
      <c r="G38" s="22"/>
    </row>
    <row r="39" spans="2:7" x14ac:dyDescent="0.2">
      <c r="B39" s="22"/>
      <c r="C39" s="22"/>
      <c r="D39" s="22"/>
      <c r="E39" s="22"/>
      <c r="F39" s="22"/>
      <c r="G39" s="22"/>
    </row>
    <row r="40" spans="2:7" x14ac:dyDescent="0.2">
      <c r="B40" s="22"/>
      <c r="C40" s="22"/>
      <c r="D40" s="22"/>
      <c r="E40" s="22"/>
      <c r="F40" s="22"/>
      <c r="G40" s="22"/>
    </row>
    <row r="41" spans="2:7" x14ac:dyDescent="0.2">
      <c r="B41" s="22"/>
      <c r="C41" s="22"/>
      <c r="D41" s="22"/>
      <c r="E41" s="22"/>
      <c r="F41" s="22"/>
      <c r="G41" s="22"/>
    </row>
    <row r="42" spans="2:7" x14ac:dyDescent="0.2">
      <c r="B42" s="22"/>
      <c r="C42" s="22"/>
      <c r="D42" s="22"/>
      <c r="E42" s="22"/>
      <c r="F42" s="22"/>
      <c r="G42" s="22"/>
    </row>
    <row r="43" spans="2:7" x14ac:dyDescent="0.2">
      <c r="B43" s="22"/>
      <c r="C43" s="22"/>
      <c r="D43" s="22"/>
      <c r="E43" s="22"/>
      <c r="F43" s="22"/>
      <c r="G43" s="22"/>
    </row>
    <row r="44" spans="2:7" x14ac:dyDescent="0.2">
      <c r="B44" s="22"/>
      <c r="C44" s="22"/>
      <c r="D44" s="22"/>
      <c r="E44" s="22"/>
      <c r="F44" s="22"/>
      <c r="G44" s="22"/>
    </row>
    <row r="45" spans="2:7" x14ac:dyDescent="0.2">
      <c r="B45" s="22"/>
      <c r="C45" s="22"/>
      <c r="D45" s="22"/>
      <c r="E45" s="22"/>
      <c r="F45" s="22"/>
      <c r="G45" s="22"/>
    </row>
    <row r="46" spans="2:7" x14ac:dyDescent="0.2">
      <c r="B46" s="22"/>
      <c r="C46" s="22"/>
      <c r="D46" s="22"/>
      <c r="E46" s="22"/>
      <c r="F46" s="22"/>
      <c r="G46" s="22"/>
    </row>
    <row r="47" spans="2:7" x14ac:dyDescent="0.2">
      <c r="B47" s="22"/>
      <c r="C47" s="22"/>
      <c r="D47" s="22"/>
      <c r="E47" s="22"/>
      <c r="F47" s="22"/>
      <c r="G47" s="22"/>
    </row>
    <row r="48" spans="2:7" x14ac:dyDescent="0.2">
      <c r="B48" s="22"/>
      <c r="C48" s="22"/>
      <c r="D48" s="22"/>
      <c r="E48" s="22"/>
      <c r="F48" s="22"/>
      <c r="G48" s="22"/>
    </row>
    <row r="49" spans="2:7" x14ac:dyDescent="0.2">
      <c r="B49" s="22"/>
      <c r="C49" s="22"/>
      <c r="D49" s="22"/>
      <c r="E49" s="22"/>
      <c r="F49" s="22"/>
      <c r="G49" s="22"/>
    </row>
    <row r="50" spans="2:7" x14ac:dyDescent="0.2">
      <c r="B50" s="22"/>
      <c r="C50" s="22"/>
      <c r="D50" s="22"/>
      <c r="E50" s="22"/>
      <c r="F50" s="22"/>
      <c r="G50" s="22"/>
    </row>
    <row r="51" spans="2:7" x14ac:dyDescent="0.2">
      <c r="B51" s="22"/>
      <c r="C51" s="22"/>
      <c r="D51" s="22"/>
      <c r="E51" s="22"/>
      <c r="F51" s="22"/>
      <c r="G51" s="22"/>
    </row>
    <row r="52" spans="2:7" x14ac:dyDescent="0.2">
      <c r="B52" s="22"/>
      <c r="C52" s="22"/>
      <c r="D52" s="22"/>
      <c r="E52" s="22"/>
      <c r="F52" s="22"/>
      <c r="G52" s="22"/>
    </row>
    <row r="53" spans="2:7" x14ac:dyDescent="0.2">
      <c r="B53" s="22"/>
      <c r="C53" s="22"/>
      <c r="D53" s="22"/>
      <c r="E53" s="22"/>
      <c r="F53" s="22"/>
      <c r="G53" s="22"/>
    </row>
    <row r="54" spans="2:7" x14ac:dyDescent="0.2">
      <c r="B54" s="22"/>
      <c r="C54" s="22"/>
      <c r="D54" s="22"/>
      <c r="E54" s="22"/>
      <c r="F54" s="22"/>
      <c r="G54" s="22"/>
    </row>
    <row r="55" spans="2:7" x14ac:dyDescent="0.2">
      <c r="B55" s="22"/>
      <c r="C55" s="22"/>
      <c r="D55" s="22"/>
      <c r="E55" s="22"/>
      <c r="F55" s="22"/>
      <c r="G55" s="22"/>
    </row>
    <row r="56" spans="2:7" x14ac:dyDescent="0.2">
      <c r="B56" s="22"/>
      <c r="C56" s="22"/>
      <c r="D56" s="22"/>
      <c r="E56" s="22"/>
      <c r="F56" s="22"/>
      <c r="G56" s="22"/>
    </row>
    <row r="57" spans="2:7" x14ac:dyDescent="0.2">
      <c r="B57" s="22"/>
      <c r="C57" s="22"/>
      <c r="D57" s="22"/>
      <c r="E57" s="22"/>
      <c r="F57" s="22"/>
      <c r="G57" s="22"/>
    </row>
    <row r="58" spans="2:7" x14ac:dyDescent="0.2">
      <c r="B58" s="22"/>
      <c r="C58" s="22"/>
      <c r="D58" s="22"/>
      <c r="E58" s="22"/>
      <c r="F58" s="22"/>
      <c r="G58" s="22"/>
    </row>
    <row r="59" spans="2:7" x14ac:dyDescent="0.2">
      <c r="B59" s="22"/>
      <c r="C59" s="22"/>
      <c r="D59" s="22"/>
      <c r="E59" s="22"/>
      <c r="F59" s="22"/>
      <c r="G59" s="22"/>
    </row>
    <row r="60" spans="2:7" x14ac:dyDescent="0.2">
      <c r="B60" s="22"/>
      <c r="C60" s="22"/>
      <c r="D60" s="22"/>
      <c r="E60" s="22"/>
      <c r="F60" s="22"/>
      <c r="G60" s="22"/>
    </row>
    <row r="61" spans="2:7" x14ac:dyDescent="0.2">
      <c r="B61" s="22"/>
      <c r="C61" s="22"/>
      <c r="D61" s="22"/>
      <c r="E61" s="22"/>
      <c r="F61" s="22"/>
      <c r="G61" s="22"/>
    </row>
    <row r="62" spans="2:7" x14ac:dyDescent="0.2">
      <c r="B62" s="22"/>
      <c r="C62" s="22"/>
      <c r="D62" s="22"/>
      <c r="E62" s="22"/>
      <c r="F62" s="22"/>
      <c r="G62" s="22"/>
    </row>
    <row r="63" spans="2:7" x14ac:dyDescent="0.2">
      <c r="B63" s="22"/>
      <c r="C63" s="22"/>
      <c r="D63" s="22"/>
      <c r="E63" s="22"/>
      <c r="F63" s="22"/>
      <c r="G63" s="22"/>
    </row>
    <row r="64" spans="2:7" x14ac:dyDescent="0.2">
      <c r="B64" s="22"/>
      <c r="C64" s="22"/>
      <c r="D64" s="22"/>
      <c r="E64" s="22"/>
      <c r="F64" s="22"/>
      <c r="G64" s="22"/>
    </row>
    <row r="65" spans="2:7" x14ac:dyDescent="0.2">
      <c r="B65" s="22"/>
      <c r="C65" s="22"/>
      <c r="D65" s="22"/>
      <c r="E65" s="22"/>
      <c r="F65" s="22"/>
      <c r="G65" s="22"/>
    </row>
    <row r="66" spans="2:7" x14ac:dyDescent="0.2">
      <c r="B66" s="22"/>
      <c r="C66" s="22"/>
      <c r="D66" s="22"/>
      <c r="E66" s="22"/>
      <c r="F66" s="22"/>
      <c r="G66" s="22"/>
    </row>
    <row r="67" spans="2:7" x14ac:dyDescent="0.2">
      <c r="B67" s="22"/>
      <c r="C67" s="22"/>
      <c r="D67" s="22"/>
      <c r="E67" s="22"/>
      <c r="F67" s="22"/>
      <c r="G67" s="22"/>
    </row>
    <row r="68" spans="2:7" x14ac:dyDescent="0.2">
      <c r="B68" s="22"/>
      <c r="C68" s="22"/>
      <c r="D68" s="22"/>
      <c r="E68" s="22"/>
      <c r="F68" s="22"/>
      <c r="G68" s="22"/>
    </row>
    <row r="69" spans="2:7" x14ac:dyDescent="0.2">
      <c r="B69" s="22"/>
      <c r="C69" s="22"/>
      <c r="D69" s="22"/>
      <c r="E69" s="22"/>
      <c r="F69" s="22"/>
      <c r="G69" s="22"/>
    </row>
    <row r="70" spans="2:7" x14ac:dyDescent="0.2">
      <c r="B70" s="22"/>
      <c r="C70" s="22"/>
      <c r="D70" s="22"/>
      <c r="E70" s="22"/>
      <c r="F70" s="22"/>
      <c r="G70" s="22"/>
    </row>
    <row r="71" spans="2:7" x14ac:dyDescent="0.2">
      <c r="B71" s="22"/>
      <c r="C71" s="22"/>
      <c r="D71" s="22"/>
      <c r="E71" s="22"/>
      <c r="F71" s="22"/>
      <c r="G71" s="22"/>
    </row>
    <row r="72" spans="2:7" x14ac:dyDescent="0.2">
      <c r="B72" s="22"/>
      <c r="C72" s="22"/>
      <c r="D72" s="22"/>
      <c r="E72" s="22"/>
      <c r="F72" s="22"/>
      <c r="G72" s="22"/>
    </row>
    <row r="73" spans="2:7" x14ac:dyDescent="0.2">
      <c r="B73" s="22"/>
      <c r="C73" s="22"/>
      <c r="D73" s="22"/>
      <c r="E73" s="22"/>
      <c r="F73" s="22"/>
      <c r="G73" s="22"/>
    </row>
    <row r="74" spans="2:7" x14ac:dyDescent="0.2">
      <c r="B74" s="22"/>
      <c r="C74" s="22"/>
      <c r="D74" s="22"/>
      <c r="E74" s="22"/>
      <c r="F74" s="22"/>
      <c r="G74" s="22"/>
    </row>
    <row r="75" spans="2:7" x14ac:dyDescent="0.2">
      <c r="B75" s="22"/>
      <c r="C75" s="22"/>
      <c r="D75" s="22"/>
      <c r="E75" s="22"/>
      <c r="F75" s="22"/>
      <c r="G75" s="22"/>
    </row>
    <row r="76" spans="2:7" x14ac:dyDescent="0.2">
      <c r="B76" s="22"/>
      <c r="C76" s="22"/>
      <c r="D76" s="22"/>
      <c r="E76" s="22"/>
      <c r="F76" s="22"/>
      <c r="G76" s="22"/>
    </row>
    <row r="77" spans="2:7" x14ac:dyDescent="0.2">
      <c r="B77" s="22"/>
      <c r="C77" s="22"/>
      <c r="D77" s="22"/>
      <c r="E77" s="22"/>
      <c r="F77" s="22"/>
      <c r="G77" s="22"/>
    </row>
    <row r="78" spans="2:7" x14ac:dyDescent="0.2">
      <c r="B78" s="22"/>
      <c r="C78" s="22"/>
      <c r="D78" s="22"/>
      <c r="E78" s="22"/>
      <c r="F78" s="22"/>
      <c r="G78" s="22"/>
    </row>
    <row r="79" spans="2:7" x14ac:dyDescent="0.2">
      <c r="B79" s="22"/>
      <c r="C79" s="22"/>
      <c r="D79" s="22"/>
      <c r="E79" s="22"/>
      <c r="F79" s="22"/>
      <c r="G79" s="22"/>
    </row>
    <row r="80" spans="2:7" x14ac:dyDescent="0.2">
      <c r="B80" s="22"/>
      <c r="C80" s="22"/>
      <c r="D80" s="22"/>
      <c r="E80" s="22"/>
      <c r="F80" s="22"/>
      <c r="G80" s="22"/>
    </row>
    <row r="81" spans="2:7" x14ac:dyDescent="0.2">
      <c r="B81" s="22"/>
      <c r="C81" s="22"/>
      <c r="D81" s="22"/>
      <c r="E81" s="22"/>
      <c r="F81" s="22"/>
      <c r="G81" s="22"/>
    </row>
    <row r="82" spans="2:7" x14ac:dyDescent="0.2">
      <c r="B82" s="22"/>
      <c r="C82" s="22"/>
      <c r="D82" s="22"/>
      <c r="E82" s="22"/>
      <c r="F82" s="22"/>
      <c r="G82" s="22"/>
    </row>
    <row r="83" spans="2:7" x14ac:dyDescent="0.2">
      <c r="B83" s="22"/>
      <c r="C83" s="22"/>
      <c r="D83" s="22"/>
      <c r="E83" s="22"/>
      <c r="F83" s="22"/>
      <c r="G83" s="22"/>
    </row>
    <row r="84" spans="2:7" x14ac:dyDescent="0.2">
      <c r="B84" s="22"/>
      <c r="C84" s="22"/>
      <c r="D84" s="22"/>
      <c r="E84" s="22"/>
      <c r="F84" s="22"/>
      <c r="G84" s="22"/>
    </row>
    <row r="85" spans="2:7" x14ac:dyDescent="0.2">
      <c r="B85" s="22"/>
      <c r="C85" s="22"/>
      <c r="D85" s="22"/>
      <c r="E85" s="22"/>
      <c r="F85" s="22"/>
      <c r="G85" s="22"/>
    </row>
    <row r="86" spans="2:7" x14ac:dyDescent="0.2">
      <c r="B86" s="22"/>
      <c r="C86" s="22"/>
      <c r="D86" s="22"/>
      <c r="E86" s="22"/>
      <c r="F86" s="22"/>
      <c r="G86" s="22"/>
    </row>
    <row r="87" spans="2:7" x14ac:dyDescent="0.2">
      <c r="B87" s="22"/>
      <c r="C87" s="22"/>
      <c r="D87" s="22"/>
      <c r="E87" s="22"/>
      <c r="F87" s="22"/>
      <c r="G87" s="22"/>
    </row>
    <row r="88" spans="2:7" x14ac:dyDescent="0.2">
      <c r="B88" s="22"/>
      <c r="C88" s="22"/>
      <c r="D88" s="22"/>
      <c r="E88" s="22"/>
      <c r="F88" s="22"/>
      <c r="G88" s="22"/>
    </row>
    <row r="89" spans="2:7" x14ac:dyDescent="0.2">
      <c r="B89" s="22"/>
      <c r="C89" s="22"/>
      <c r="D89" s="22"/>
      <c r="E89" s="22"/>
      <c r="F89" s="22"/>
      <c r="G89" s="22"/>
    </row>
    <row r="90" spans="2:7" x14ac:dyDescent="0.2">
      <c r="B90" s="22"/>
      <c r="C90" s="22"/>
      <c r="D90" s="22"/>
      <c r="E90" s="22"/>
      <c r="F90" s="22"/>
      <c r="G90" s="22"/>
    </row>
    <row r="91" spans="2:7" x14ac:dyDescent="0.2">
      <c r="B91" s="22"/>
      <c r="C91" s="22"/>
      <c r="D91" s="22"/>
      <c r="E91" s="22"/>
      <c r="F91" s="22"/>
      <c r="G91" s="22"/>
    </row>
    <row r="92" spans="2:7" x14ac:dyDescent="0.2">
      <c r="B92" s="22"/>
      <c r="C92" s="22"/>
      <c r="D92" s="22"/>
      <c r="E92" s="22"/>
      <c r="F92" s="22"/>
      <c r="G92" s="22"/>
    </row>
    <row r="93" spans="2:7" x14ac:dyDescent="0.2">
      <c r="B93" s="22"/>
      <c r="C93" s="22"/>
      <c r="D93" s="22"/>
      <c r="E93" s="22"/>
      <c r="F93" s="22"/>
      <c r="G93" s="22"/>
    </row>
    <row r="94" spans="2:7" x14ac:dyDescent="0.2">
      <c r="B94" s="22"/>
      <c r="C94" s="22"/>
      <c r="D94" s="22"/>
      <c r="E94" s="22"/>
      <c r="F94" s="22"/>
      <c r="G94" s="22"/>
    </row>
    <row r="95" spans="2:7" x14ac:dyDescent="0.2">
      <c r="B95" s="22"/>
      <c r="C95" s="22"/>
      <c r="D95" s="22"/>
      <c r="E95" s="22"/>
      <c r="F95" s="22"/>
      <c r="G95" s="22"/>
    </row>
    <row r="96" spans="2:7" x14ac:dyDescent="0.2">
      <c r="B96" s="22"/>
      <c r="C96" s="22"/>
      <c r="D96" s="22"/>
      <c r="E96" s="22"/>
      <c r="F96" s="22"/>
      <c r="G96" s="22"/>
    </row>
    <row r="97" spans="2:7" x14ac:dyDescent="0.2">
      <c r="B97" s="22"/>
      <c r="C97" s="22"/>
      <c r="D97" s="22"/>
      <c r="E97" s="22"/>
      <c r="F97" s="22"/>
      <c r="G97" s="22"/>
    </row>
    <row r="98" spans="2:7" x14ac:dyDescent="0.2">
      <c r="B98" s="22"/>
      <c r="C98" s="22"/>
      <c r="D98" s="22"/>
      <c r="E98" s="22"/>
      <c r="F98" s="22"/>
      <c r="G98" s="22"/>
    </row>
    <row r="99" spans="2:7" x14ac:dyDescent="0.2">
      <c r="B99" s="22"/>
      <c r="C99" s="22"/>
      <c r="D99" s="22"/>
      <c r="E99" s="22"/>
      <c r="F99" s="22"/>
      <c r="G99" s="22"/>
    </row>
    <row r="100" spans="2:7" x14ac:dyDescent="0.2">
      <c r="B100" s="22"/>
      <c r="C100" s="22"/>
      <c r="D100" s="22"/>
      <c r="E100" s="22"/>
      <c r="F100" s="22"/>
      <c r="G100" s="22"/>
    </row>
    <row r="101" spans="2:7" x14ac:dyDescent="0.2">
      <c r="B101" s="22"/>
      <c r="C101" s="22"/>
      <c r="D101" s="22"/>
      <c r="E101" s="22"/>
      <c r="F101" s="22"/>
      <c r="G101" s="22"/>
    </row>
    <row r="102" spans="2:7" x14ac:dyDescent="0.2">
      <c r="B102" s="22"/>
      <c r="C102" s="22"/>
      <c r="D102" s="22"/>
      <c r="E102" s="22"/>
      <c r="F102" s="22"/>
      <c r="G102" s="22"/>
    </row>
    <row r="103" spans="2:7" x14ac:dyDescent="0.2">
      <c r="B103" s="22"/>
      <c r="C103" s="22"/>
      <c r="D103" s="22"/>
      <c r="E103" s="22"/>
      <c r="F103" s="22"/>
      <c r="G103" s="22"/>
    </row>
    <row r="104" spans="2:7" x14ac:dyDescent="0.2">
      <c r="B104" s="22"/>
      <c r="C104" s="22"/>
      <c r="D104" s="22"/>
      <c r="E104" s="22"/>
      <c r="F104" s="22"/>
      <c r="G104" s="22"/>
    </row>
    <row r="105" spans="2:7" x14ac:dyDescent="0.2">
      <c r="B105" s="22"/>
      <c r="C105" s="22"/>
      <c r="D105" s="22"/>
      <c r="E105" s="22"/>
      <c r="F105" s="22"/>
      <c r="G105" s="22"/>
    </row>
    <row r="106" spans="2:7" x14ac:dyDescent="0.2">
      <c r="B106" s="22"/>
      <c r="C106" s="22"/>
      <c r="D106" s="22"/>
      <c r="E106" s="22"/>
      <c r="F106" s="22"/>
      <c r="G106" s="22"/>
    </row>
    <row r="107" spans="2:7" x14ac:dyDescent="0.2">
      <c r="B107" s="22"/>
      <c r="C107" s="22"/>
      <c r="D107" s="22"/>
      <c r="E107" s="22"/>
      <c r="F107" s="22"/>
      <c r="G107" s="22"/>
    </row>
    <row r="108" spans="2:7" x14ac:dyDescent="0.2">
      <c r="B108" s="22"/>
      <c r="C108" s="22"/>
      <c r="D108" s="22"/>
      <c r="E108" s="22"/>
      <c r="F108" s="22"/>
      <c r="G108" s="22"/>
    </row>
    <row r="109" spans="2:7" x14ac:dyDescent="0.2">
      <c r="B109" s="22"/>
      <c r="C109" s="22"/>
      <c r="D109" s="22"/>
      <c r="E109" s="22"/>
      <c r="F109" s="22"/>
      <c r="G109" s="22"/>
    </row>
    <row r="110" spans="2:7" x14ac:dyDescent="0.2">
      <c r="B110" s="22"/>
      <c r="C110" s="22"/>
      <c r="D110" s="22"/>
      <c r="E110" s="22"/>
      <c r="F110" s="22"/>
      <c r="G110" s="22"/>
    </row>
    <row r="111" spans="2:7" x14ac:dyDescent="0.2">
      <c r="B111" s="22"/>
      <c r="C111" s="22"/>
      <c r="D111" s="22"/>
      <c r="E111" s="22"/>
      <c r="F111" s="22"/>
      <c r="G111" s="22"/>
    </row>
    <row r="112" spans="2:7" x14ac:dyDescent="0.2">
      <c r="B112" s="22"/>
      <c r="C112" s="22"/>
      <c r="D112" s="22"/>
      <c r="E112" s="22"/>
      <c r="F112" s="22"/>
      <c r="G112" s="22"/>
    </row>
    <row r="113" spans="2:7" x14ac:dyDescent="0.2">
      <c r="B113" s="22"/>
      <c r="C113" s="22"/>
      <c r="D113" s="22"/>
      <c r="E113" s="22"/>
      <c r="F113" s="22"/>
      <c r="G113" s="22"/>
    </row>
    <row r="114" spans="2:7" x14ac:dyDescent="0.2">
      <c r="B114" s="22"/>
      <c r="C114" s="22"/>
      <c r="D114" s="22"/>
      <c r="E114" s="22"/>
      <c r="F114" s="22"/>
      <c r="G114" s="22"/>
    </row>
    <row r="115" spans="2:7" x14ac:dyDescent="0.2">
      <c r="B115" s="22"/>
      <c r="C115" s="22"/>
      <c r="D115" s="22"/>
      <c r="E115" s="22"/>
      <c r="F115" s="22"/>
      <c r="G115" s="22"/>
    </row>
    <row r="116" spans="2:7" x14ac:dyDescent="0.2">
      <c r="B116" s="22"/>
      <c r="C116" s="22"/>
      <c r="D116" s="22"/>
      <c r="E116" s="22"/>
      <c r="F116" s="22"/>
      <c r="G116" s="22"/>
    </row>
    <row r="117" spans="2:7" x14ac:dyDescent="0.2">
      <c r="B117" s="22"/>
      <c r="C117" s="22"/>
      <c r="D117" s="22"/>
      <c r="E117" s="22"/>
      <c r="F117" s="22"/>
      <c r="G117" s="22"/>
    </row>
    <row r="118" spans="2:7" x14ac:dyDescent="0.2">
      <c r="B118" s="22"/>
      <c r="C118" s="22"/>
      <c r="D118" s="22"/>
      <c r="E118" s="22"/>
      <c r="F118" s="22"/>
      <c r="G118" s="22"/>
    </row>
    <row r="119" spans="2:7" x14ac:dyDescent="0.2">
      <c r="B119" s="22"/>
      <c r="C119" s="22"/>
      <c r="D119" s="22"/>
      <c r="E119" s="22"/>
      <c r="F119" s="22"/>
      <c r="G119" s="22"/>
    </row>
    <row r="120" spans="2:7" x14ac:dyDescent="0.2">
      <c r="B120" s="22"/>
      <c r="C120" s="22"/>
      <c r="D120" s="22"/>
      <c r="E120" s="22"/>
      <c r="F120" s="22"/>
      <c r="G120" s="22"/>
    </row>
    <row r="121" spans="2:7" x14ac:dyDescent="0.2">
      <c r="B121" s="22"/>
      <c r="C121" s="22"/>
      <c r="D121" s="22"/>
      <c r="E121" s="22"/>
      <c r="F121" s="22"/>
      <c r="G121" s="22"/>
    </row>
    <row r="122" spans="2:7" x14ac:dyDescent="0.2">
      <c r="B122" s="22"/>
      <c r="C122" s="22"/>
      <c r="D122" s="22"/>
      <c r="E122" s="22"/>
      <c r="F122" s="22"/>
      <c r="G122" s="22"/>
    </row>
    <row r="123" spans="2:7" x14ac:dyDescent="0.2">
      <c r="B123" s="22"/>
      <c r="C123" s="22"/>
      <c r="D123" s="22"/>
      <c r="E123" s="22"/>
      <c r="F123" s="22"/>
      <c r="G123" s="22"/>
    </row>
    <row r="124" spans="2:7" x14ac:dyDescent="0.2">
      <c r="B124" s="22"/>
      <c r="C124" s="22"/>
      <c r="D124" s="22"/>
      <c r="E124" s="22"/>
      <c r="F124" s="22"/>
      <c r="G124" s="22"/>
    </row>
    <row r="125" spans="2:7" x14ac:dyDescent="0.2">
      <c r="B125" s="22"/>
      <c r="C125" s="22"/>
      <c r="D125" s="22"/>
      <c r="E125" s="22"/>
      <c r="F125" s="22"/>
      <c r="G125" s="22"/>
    </row>
    <row r="126" spans="2:7" x14ac:dyDescent="0.2">
      <c r="B126" s="22"/>
      <c r="C126" s="22"/>
      <c r="D126" s="22"/>
      <c r="E126" s="22"/>
      <c r="F126" s="22"/>
      <c r="G126" s="22"/>
    </row>
    <row r="127" spans="2:7" x14ac:dyDescent="0.2">
      <c r="B127" s="22"/>
      <c r="C127" s="22"/>
      <c r="D127" s="22"/>
      <c r="E127" s="22"/>
      <c r="F127" s="22"/>
      <c r="G127" s="22"/>
    </row>
    <row r="128" spans="2:7" x14ac:dyDescent="0.2">
      <c r="B128" s="22"/>
      <c r="C128" s="22"/>
      <c r="D128" s="22"/>
      <c r="E128" s="22"/>
      <c r="F128" s="22"/>
      <c r="G128" s="22"/>
    </row>
    <row r="129" spans="2:7" x14ac:dyDescent="0.2">
      <c r="B129" s="22"/>
      <c r="C129" s="22"/>
      <c r="D129" s="22"/>
      <c r="E129" s="22"/>
      <c r="F129" s="22"/>
      <c r="G129" s="22"/>
    </row>
    <row r="130" spans="2:7" x14ac:dyDescent="0.2">
      <c r="B130" s="22"/>
      <c r="C130" s="22"/>
      <c r="D130" s="22"/>
      <c r="E130" s="22"/>
      <c r="F130" s="22"/>
      <c r="G130" s="22"/>
    </row>
    <row r="131" spans="2:7" x14ac:dyDescent="0.2">
      <c r="B131" s="22"/>
      <c r="C131" s="22"/>
      <c r="D131" s="22"/>
      <c r="E131" s="22"/>
      <c r="F131" s="22"/>
      <c r="G131" s="22"/>
    </row>
    <row r="132" spans="2:7" x14ac:dyDescent="0.2">
      <c r="B132" s="22"/>
      <c r="C132" s="22"/>
      <c r="D132" s="22"/>
      <c r="E132" s="22"/>
      <c r="F132" s="22"/>
      <c r="G132" s="22"/>
    </row>
    <row r="133" spans="2:7" x14ac:dyDescent="0.2">
      <c r="B133" s="22"/>
      <c r="C133" s="22"/>
      <c r="D133" s="22"/>
      <c r="E133" s="22"/>
      <c r="F133" s="22"/>
      <c r="G133" s="22"/>
    </row>
    <row r="134" spans="2:7" x14ac:dyDescent="0.2">
      <c r="B134" s="22"/>
      <c r="C134" s="22"/>
      <c r="D134" s="22"/>
      <c r="E134" s="22"/>
      <c r="F134" s="22"/>
      <c r="G134" s="22"/>
    </row>
    <row r="135" spans="2:7" x14ac:dyDescent="0.2">
      <c r="B135" s="22"/>
      <c r="C135" s="22"/>
      <c r="D135" s="22"/>
      <c r="E135" s="22"/>
      <c r="F135" s="22"/>
      <c r="G135" s="22"/>
    </row>
    <row r="136" spans="2:7" x14ac:dyDescent="0.2">
      <c r="B136" s="22"/>
      <c r="C136" s="22"/>
      <c r="D136" s="22"/>
      <c r="E136" s="22"/>
      <c r="F136" s="22"/>
      <c r="G136" s="22"/>
    </row>
    <row r="137" spans="2:7" x14ac:dyDescent="0.2">
      <c r="B137" s="22"/>
      <c r="C137" s="22"/>
      <c r="D137" s="22"/>
      <c r="E137" s="22"/>
      <c r="F137" s="22"/>
      <c r="G137" s="22"/>
    </row>
    <row r="138" spans="2:7" x14ac:dyDescent="0.2">
      <c r="B138" s="22"/>
      <c r="C138" s="22"/>
      <c r="D138" s="22"/>
      <c r="E138" s="22"/>
      <c r="F138" s="22"/>
      <c r="G138" s="22"/>
    </row>
    <row r="139" spans="2:7" x14ac:dyDescent="0.2">
      <c r="B139" s="22"/>
      <c r="C139" s="22"/>
      <c r="D139" s="22"/>
      <c r="E139" s="22"/>
      <c r="F139" s="22"/>
      <c r="G139" s="22"/>
    </row>
    <row r="140" spans="2:7" x14ac:dyDescent="0.2">
      <c r="B140" s="22"/>
      <c r="C140" s="22"/>
      <c r="D140" s="22"/>
      <c r="E140" s="22"/>
      <c r="F140" s="22"/>
      <c r="G140" s="22"/>
    </row>
    <row r="141" spans="2:7" x14ac:dyDescent="0.2">
      <c r="B141" s="22"/>
      <c r="C141" s="22"/>
      <c r="D141" s="22"/>
      <c r="E141" s="22"/>
      <c r="F141" s="22"/>
      <c r="G141" s="22"/>
    </row>
    <row r="142" spans="2:7" x14ac:dyDescent="0.2">
      <c r="B142" s="22"/>
      <c r="C142" s="22"/>
      <c r="D142" s="22"/>
      <c r="E142" s="22"/>
      <c r="F142" s="22"/>
      <c r="G142" s="22"/>
    </row>
    <row r="143" spans="2:7" x14ac:dyDescent="0.2">
      <c r="B143" s="22"/>
      <c r="C143" s="22"/>
      <c r="D143" s="22"/>
      <c r="E143" s="22"/>
      <c r="F143" s="22"/>
      <c r="G143" s="22"/>
    </row>
    <row r="144" spans="2:7" x14ac:dyDescent="0.2">
      <c r="B144" s="22"/>
      <c r="C144" s="22"/>
      <c r="D144" s="22"/>
      <c r="E144" s="22"/>
      <c r="F144" s="22"/>
      <c r="G144" s="22"/>
    </row>
    <row r="145" spans="2:7" x14ac:dyDescent="0.2">
      <c r="B145" s="22"/>
      <c r="C145" s="22"/>
      <c r="D145" s="22"/>
      <c r="E145" s="22"/>
      <c r="F145" s="22"/>
      <c r="G145" s="22"/>
    </row>
    <row r="146" spans="2:7" x14ac:dyDescent="0.2">
      <c r="B146" s="22"/>
      <c r="C146" s="22"/>
      <c r="D146" s="22"/>
      <c r="E146" s="22"/>
      <c r="F146" s="22"/>
      <c r="G146" s="22"/>
    </row>
    <row r="147" spans="2:7" x14ac:dyDescent="0.2">
      <c r="B147" s="22"/>
      <c r="C147" s="22"/>
      <c r="D147" s="22"/>
      <c r="E147" s="22"/>
      <c r="F147" s="22"/>
      <c r="G147" s="22"/>
    </row>
    <row r="148" spans="2:7" x14ac:dyDescent="0.2">
      <c r="B148" s="22"/>
      <c r="C148" s="22"/>
      <c r="D148" s="22"/>
      <c r="E148" s="22"/>
      <c r="F148" s="22"/>
      <c r="G148" s="22"/>
    </row>
    <row r="149" spans="2:7" x14ac:dyDescent="0.2">
      <c r="B149" s="22"/>
      <c r="C149" s="22"/>
      <c r="D149" s="22"/>
      <c r="E149" s="22"/>
      <c r="F149" s="22"/>
      <c r="G149" s="22"/>
    </row>
    <row r="150" spans="2:7" x14ac:dyDescent="0.2">
      <c r="B150" s="22"/>
      <c r="C150" s="22"/>
      <c r="D150" s="22"/>
      <c r="E150" s="22"/>
      <c r="F150" s="22"/>
      <c r="G150" s="22"/>
    </row>
    <row r="151" spans="2:7" x14ac:dyDescent="0.2">
      <c r="B151" s="22"/>
      <c r="C151" s="22"/>
      <c r="D151" s="22"/>
      <c r="E151" s="22"/>
      <c r="F151" s="22"/>
      <c r="G151" s="22"/>
    </row>
    <row r="152" spans="2:7" x14ac:dyDescent="0.2">
      <c r="B152" s="22"/>
      <c r="C152" s="22"/>
      <c r="D152" s="22"/>
      <c r="E152" s="22"/>
      <c r="F152" s="22"/>
      <c r="G152" s="22"/>
    </row>
    <row r="153" spans="2:7" x14ac:dyDescent="0.2">
      <c r="B153" s="22"/>
      <c r="C153" s="22"/>
      <c r="D153" s="22"/>
      <c r="E153" s="22"/>
      <c r="F153" s="22"/>
      <c r="G153" s="22"/>
    </row>
    <row r="154" spans="2:7" x14ac:dyDescent="0.2">
      <c r="B154" s="22"/>
      <c r="C154" s="22"/>
      <c r="D154" s="22"/>
      <c r="E154" s="22"/>
      <c r="F154" s="22"/>
      <c r="G154" s="22"/>
    </row>
    <row r="155" spans="2:7" x14ac:dyDescent="0.2">
      <c r="B155" s="22"/>
      <c r="C155" s="22"/>
      <c r="D155" s="22"/>
      <c r="E155" s="22"/>
      <c r="F155" s="22"/>
      <c r="G155" s="22"/>
    </row>
    <row r="156" spans="2:7" x14ac:dyDescent="0.2">
      <c r="B156" s="22"/>
      <c r="C156" s="22"/>
      <c r="D156" s="22"/>
      <c r="E156" s="22"/>
      <c r="F156" s="22"/>
      <c r="G156" s="22"/>
    </row>
    <row r="157" spans="2:7" x14ac:dyDescent="0.2">
      <c r="B157" s="22"/>
      <c r="C157" s="22"/>
      <c r="D157" s="22"/>
      <c r="E157" s="22"/>
      <c r="F157" s="22"/>
      <c r="G157" s="22"/>
    </row>
    <row r="158" spans="2:7" x14ac:dyDescent="0.2">
      <c r="B158" s="22"/>
      <c r="C158" s="22"/>
      <c r="D158" s="22"/>
      <c r="E158" s="22"/>
      <c r="F158" s="22"/>
      <c r="G158" s="22"/>
    </row>
    <row r="159" spans="2:7" x14ac:dyDescent="0.2">
      <c r="B159" s="22"/>
      <c r="C159" s="22"/>
      <c r="D159" s="22"/>
      <c r="E159" s="22"/>
      <c r="F159" s="22"/>
      <c r="G159" s="22"/>
    </row>
    <row r="160" spans="2:7" x14ac:dyDescent="0.2">
      <c r="B160" s="22"/>
      <c r="C160" s="22"/>
      <c r="D160" s="22"/>
      <c r="E160" s="22"/>
      <c r="F160" s="22"/>
      <c r="G160" s="22"/>
    </row>
    <row r="161" spans="2:7" x14ac:dyDescent="0.2">
      <c r="B161" s="22"/>
      <c r="C161" s="22"/>
      <c r="D161" s="22"/>
      <c r="E161" s="22"/>
      <c r="F161" s="22"/>
      <c r="G161" s="22"/>
    </row>
  </sheetData>
  <mergeCells count="2">
    <mergeCell ref="B6:G6"/>
    <mergeCell ref="B7:G7"/>
  </mergeCells>
  <phoneticPr fontId="0" type="noConversion"/>
  <pageMargins left="0.75" right="0.75" top="1" bottom="1" header="0.5" footer="0.5"/>
  <pageSetup orientation="landscape" horizontalDpi="4294967292"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2:BD49"/>
  <sheetViews>
    <sheetView showGridLines="0" workbookViewId="0">
      <selection activeCell="B9" sqref="B9"/>
    </sheetView>
  </sheetViews>
  <sheetFormatPr defaultColWidth="9" defaultRowHeight="16.5" x14ac:dyDescent="0.3"/>
  <cols>
    <col min="1" max="1" width="3.875" style="3" customWidth="1"/>
    <col min="2" max="2" width="10.5" style="3" bestFit="1" customWidth="1"/>
    <col min="3" max="3" width="9" style="3"/>
    <col min="4" max="4" width="3.875" style="3" customWidth="1"/>
    <col min="5" max="5" width="24.625" style="3" customWidth="1"/>
    <col min="6" max="6" width="24" style="3" customWidth="1"/>
    <col min="7" max="7" width="10.25" style="3" customWidth="1"/>
    <col min="8" max="8" width="12.5" style="3" customWidth="1"/>
    <col min="9" max="9" width="9" style="3"/>
    <col min="10" max="10" width="19.625" style="3" bestFit="1" customWidth="1"/>
    <col min="11" max="11" width="13.25" style="3" bestFit="1" customWidth="1"/>
    <col min="12" max="12" width="9" style="3"/>
    <col min="13" max="13" width="22.25" style="3" bestFit="1" customWidth="1"/>
    <col min="14" max="16384" width="9" style="3"/>
  </cols>
  <sheetData>
    <row r="2" spans="2:56" x14ac:dyDescent="0.3">
      <c r="B2" s="36" t="s">
        <v>199</v>
      </c>
    </row>
    <row r="3" spans="2:56" x14ac:dyDescent="0.3">
      <c r="B3" s="36" t="s">
        <v>190</v>
      </c>
    </row>
    <row r="5" spans="2:56" ht="17.25" thickBot="1" x14ac:dyDescent="0.35"/>
    <row r="6" spans="2:56" ht="88.5" customHeight="1" x14ac:dyDescent="0.3">
      <c r="E6" s="162" t="s">
        <v>163</v>
      </c>
      <c r="F6" s="163"/>
      <c r="G6" s="1"/>
      <c r="H6" s="2"/>
    </row>
    <row r="7" spans="2:56" x14ac:dyDescent="0.3">
      <c r="E7" s="164">
        <f ca="1">NOW()</f>
        <v>45859.690820601849</v>
      </c>
      <c r="F7" s="165"/>
      <c r="G7" s="4"/>
      <c r="H7" s="5"/>
    </row>
    <row r="8" spans="2:56" ht="17.25" thickBot="1" x14ac:dyDescent="0.35">
      <c r="E8" s="6"/>
      <c r="F8" s="7"/>
    </row>
    <row r="9" spans="2:56" ht="28.5" thickBot="1" x14ac:dyDescent="0.35">
      <c r="E9" s="106" t="s">
        <v>77</v>
      </c>
      <c r="F9" s="107" t="s">
        <v>78</v>
      </c>
      <c r="G9" s="1"/>
      <c r="H9" s="8"/>
      <c r="I9" s="8"/>
    </row>
    <row r="10" spans="2:56" x14ac:dyDescent="0.3">
      <c r="B10" s="33" t="s">
        <v>8</v>
      </c>
      <c r="E10" s="14"/>
      <c r="F10" s="19"/>
    </row>
    <row r="11" spans="2:56" x14ac:dyDescent="0.3">
      <c r="B11" s="33" t="s">
        <v>9</v>
      </c>
      <c r="E11" s="14"/>
      <c r="F11" s="19"/>
    </row>
    <row r="12" spans="2:56" x14ac:dyDescent="0.3">
      <c r="B12" s="33" t="s">
        <v>10</v>
      </c>
      <c r="E12" s="14"/>
      <c r="F12" s="19"/>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row>
    <row r="13" spans="2:56" x14ac:dyDescent="0.3">
      <c r="B13" s="33" t="s">
        <v>11</v>
      </c>
      <c r="E13" s="14"/>
      <c r="F13" s="19"/>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row>
    <row r="14" spans="2:56" x14ac:dyDescent="0.3">
      <c r="B14" s="33" t="s">
        <v>12</v>
      </c>
      <c r="E14" s="14"/>
      <c r="F14" s="19"/>
      <c r="J14" s="10"/>
      <c r="K14" s="9"/>
      <c r="L14" s="8"/>
      <c r="M14" s="8"/>
      <c r="N14" s="11"/>
      <c r="O14" s="12"/>
    </row>
    <row r="15" spans="2:56" x14ac:dyDescent="0.3">
      <c r="B15" s="33" t="s">
        <v>13</v>
      </c>
      <c r="E15" s="14"/>
      <c r="F15" s="19"/>
      <c r="J15" s="10"/>
      <c r="K15" s="9"/>
      <c r="L15" s="8"/>
      <c r="M15" s="8"/>
      <c r="N15" s="11"/>
      <c r="O15" s="12"/>
    </row>
    <row r="16" spans="2:56" x14ac:dyDescent="0.3">
      <c r="B16" s="33" t="s">
        <v>14</v>
      </c>
      <c r="E16" s="14"/>
      <c r="F16" s="19"/>
      <c r="J16" s="10"/>
      <c r="K16" s="9"/>
      <c r="L16" s="8"/>
      <c r="M16" s="8"/>
      <c r="N16" s="11"/>
      <c r="O16" s="12"/>
    </row>
    <row r="17" spans="2:15" x14ac:dyDescent="0.3">
      <c r="B17" s="33" t="s">
        <v>15</v>
      </c>
      <c r="E17" s="14"/>
      <c r="F17" s="19"/>
      <c r="J17" s="10"/>
      <c r="K17" s="9"/>
      <c r="L17" s="8"/>
      <c r="M17" s="8"/>
      <c r="N17" s="11"/>
      <c r="O17" s="12"/>
    </row>
    <row r="18" spans="2:15" x14ac:dyDescent="0.3">
      <c r="B18" s="33" t="s">
        <v>16</v>
      </c>
      <c r="E18" s="14"/>
      <c r="F18" s="19"/>
      <c r="J18" s="10"/>
      <c r="K18" s="9"/>
      <c r="L18" s="8"/>
      <c r="M18" s="8"/>
      <c r="N18" s="11"/>
      <c r="O18" s="12"/>
    </row>
    <row r="19" spans="2:15" x14ac:dyDescent="0.3">
      <c r="B19" s="33" t="s">
        <v>17</v>
      </c>
      <c r="E19" s="14"/>
      <c r="F19" s="19"/>
      <c r="J19" s="10"/>
      <c r="K19" s="9"/>
      <c r="L19" s="8"/>
      <c r="M19" s="8"/>
      <c r="N19" s="11"/>
      <c r="O19" s="12"/>
    </row>
    <row r="20" spans="2:15" x14ac:dyDescent="0.3">
      <c r="B20" s="33" t="s">
        <v>18</v>
      </c>
      <c r="E20" s="14"/>
      <c r="F20" s="19"/>
      <c r="J20" s="10"/>
      <c r="K20" s="9"/>
      <c r="L20" s="8"/>
      <c r="M20" s="8"/>
      <c r="N20" s="11"/>
      <c r="O20" s="12"/>
    </row>
    <row r="21" spans="2:15" x14ac:dyDescent="0.3">
      <c r="B21" s="33" t="s">
        <v>19</v>
      </c>
      <c r="E21" s="14"/>
      <c r="F21" s="19"/>
    </row>
    <row r="22" spans="2:15" x14ac:dyDescent="0.3">
      <c r="B22" s="33" t="s">
        <v>20</v>
      </c>
      <c r="E22" s="14"/>
      <c r="F22" s="19"/>
    </row>
    <row r="23" spans="2:15" x14ac:dyDescent="0.3">
      <c r="B23" s="33" t="s">
        <v>21</v>
      </c>
      <c r="E23" s="14"/>
      <c r="F23" s="19"/>
    </row>
    <row r="24" spans="2:15" x14ac:dyDescent="0.3">
      <c r="B24" s="33" t="s">
        <v>22</v>
      </c>
      <c r="E24" s="14"/>
      <c r="F24" s="19"/>
    </row>
    <row r="25" spans="2:15" x14ac:dyDescent="0.3">
      <c r="B25" s="33" t="s">
        <v>23</v>
      </c>
      <c r="E25" s="14"/>
      <c r="F25" s="19"/>
    </row>
    <row r="26" spans="2:15" x14ac:dyDescent="0.3">
      <c r="B26" s="33" t="s">
        <v>24</v>
      </c>
      <c r="E26" s="14"/>
      <c r="F26" s="19"/>
    </row>
    <row r="27" spans="2:15" x14ac:dyDescent="0.3">
      <c r="B27" s="33" t="s">
        <v>25</v>
      </c>
      <c r="E27" s="14"/>
      <c r="F27" s="19"/>
    </row>
    <row r="28" spans="2:15" x14ac:dyDescent="0.3">
      <c r="B28" s="33" t="s">
        <v>26</v>
      </c>
      <c r="E28" s="14"/>
      <c r="F28" s="19"/>
    </row>
    <row r="29" spans="2:15" x14ac:dyDescent="0.3">
      <c r="B29" s="33" t="s">
        <v>27</v>
      </c>
      <c r="E29" s="14"/>
      <c r="F29" s="19"/>
    </row>
    <row r="30" spans="2:15" x14ac:dyDescent="0.3">
      <c r="B30" s="33" t="s">
        <v>28</v>
      </c>
      <c r="E30" s="14"/>
      <c r="F30" s="19"/>
    </row>
    <row r="31" spans="2:15" x14ac:dyDescent="0.3">
      <c r="B31" s="33" t="s">
        <v>29</v>
      </c>
      <c r="E31" s="14"/>
      <c r="F31" s="19"/>
    </row>
    <row r="32" spans="2:15" x14ac:dyDescent="0.3">
      <c r="B32" s="33" t="s">
        <v>30</v>
      </c>
      <c r="E32" s="14"/>
      <c r="F32" s="19"/>
    </row>
    <row r="33" spans="2:6" x14ac:dyDescent="0.3">
      <c r="B33" s="33" t="s">
        <v>31</v>
      </c>
      <c r="E33" s="14"/>
      <c r="F33" s="19"/>
    </row>
    <row r="34" spans="2:6" x14ac:dyDescent="0.3">
      <c r="B34" s="33" t="s">
        <v>32</v>
      </c>
      <c r="E34" s="14"/>
      <c r="F34" s="19"/>
    </row>
    <row r="35" spans="2:6" x14ac:dyDescent="0.3">
      <c r="B35" s="33" t="s">
        <v>33</v>
      </c>
      <c r="E35" s="14"/>
      <c r="F35" s="19"/>
    </row>
    <row r="36" spans="2:6" x14ac:dyDescent="0.3">
      <c r="B36" s="33" t="s">
        <v>34</v>
      </c>
      <c r="E36" s="14"/>
      <c r="F36" s="19"/>
    </row>
    <row r="37" spans="2:6" x14ac:dyDescent="0.3">
      <c r="B37" s="33" t="s">
        <v>35</v>
      </c>
      <c r="E37" s="14"/>
      <c r="F37" s="19"/>
    </row>
    <row r="38" spans="2:6" x14ac:dyDescent="0.3">
      <c r="B38" s="33" t="s">
        <v>36</v>
      </c>
      <c r="E38" s="14"/>
      <c r="F38" s="19"/>
    </row>
    <row r="39" spans="2:6" x14ac:dyDescent="0.3">
      <c r="B39" s="33" t="s">
        <v>37</v>
      </c>
      <c r="E39" s="14"/>
      <c r="F39" s="19"/>
    </row>
    <row r="40" spans="2:6" x14ac:dyDescent="0.3">
      <c r="B40" s="33" t="s">
        <v>38</v>
      </c>
      <c r="E40" s="14"/>
      <c r="F40" s="19"/>
    </row>
    <row r="41" spans="2:6" x14ac:dyDescent="0.3">
      <c r="B41" s="33" t="s">
        <v>39</v>
      </c>
      <c r="E41" s="14"/>
      <c r="F41" s="19"/>
    </row>
    <row r="42" spans="2:6" x14ac:dyDescent="0.3">
      <c r="B42" s="33" t="s">
        <v>40</v>
      </c>
      <c r="E42" s="14"/>
      <c r="F42" s="19"/>
    </row>
    <row r="43" spans="2:6" x14ac:dyDescent="0.3">
      <c r="B43" s="33" t="s">
        <v>41</v>
      </c>
      <c r="E43" s="14"/>
      <c r="F43" s="19"/>
    </row>
    <row r="44" spans="2:6" x14ac:dyDescent="0.3">
      <c r="B44" s="33" t="s">
        <v>42</v>
      </c>
      <c r="E44" s="14"/>
      <c r="F44" s="20"/>
    </row>
    <row r="45" spans="2:6" x14ac:dyDescent="0.3">
      <c r="B45" s="33" t="s">
        <v>43</v>
      </c>
      <c r="E45" s="14"/>
      <c r="F45" s="20"/>
    </row>
    <row r="46" spans="2:6" x14ac:dyDescent="0.3">
      <c r="B46" s="33" t="s">
        <v>44</v>
      </c>
      <c r="E46" s="14"/>
      <c r="F46" s="20"/>
    </row>
    <row r="47" spans="2:6" x14ac:dyDescent="0.3">
      <c r="B47" s="33" t="s">
        <v>45</v>
      </c>
      <c r="E47" s="14"/>
      <c r="F47" s="20"/>
    </row>
    <row r="48" spans="2:6" x14ac:dyDescent="0.3">
      <c r="B48" s="33" t="s">
        <v>46</v>
      </c>
      <c r="E48" s="14"/>
      <c r="F48" s="20"/>
    </row>
    <row r="49" spans="2:6" ht="17.25" thickBot="1" x14ac:dyDescent="0.35">
      <c r="B49" s="33" t="s">
        <v>47</v>
      </c>
      <c r="E49" s="15"/>
      <c r="F49" s="21"/>
    </row>
  </sheetData>
  <mergeCells count="2">
    <mergeCell ref="E6:F6"/>
    <mergeCell ref="E7:F7"/>
  </mergeCells>
  <phoneticPr fontId="0" type="noConversion"/>
  <pageMargins left="0.75" right="0.75" top="1" bottom="1" header="0.5" footer="0.5"/>
  <pageSetup scale="54" orientation="landscape" horizontalDpi="4294967292"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2:Q159"/>
  <sheetViews>
    <sheetView showGridLines="0" zoomScaleNormal="100" workbookViewId="0">
      <selection activeCell="H25" sqref="H25"/>
    </sheetView>
  </sheetViews>
  <sheetFormatPr defaultColWidth="9" defaultRowHeight="16.5" x14ac:dyDescent="0.3"/>
  <cols>
    <col min="1" max="1" width="3.875" style="81" customWidth="1"/>
    <col min="2" max="2" width="22.25" style="81" customWidth="1"/>
    <col min="3" max="3" width="19.375" style="81" customWidth="1"/>
    <col min="4" max="4" width="15.625" style="81" bestFit="1" customWidth="1"/>
    <col min="5" max="5" width="12.625" style="81" customWidth="1"/>
    <col min="6" max="6" width="12.5" style="81" customWidth="1"/>
    <col min="7" max="7" width="9" style="83"/>
    <col min="8" max="8" width="19.625" style="83" bestFit="1" customWidth="1"/>
    <col min="9" max="9" width="13.25" style="83" bestFit="1" customWidth="1"/>
    <col min="10" max="10" width="9" style="83"/>
    <col min="11" max="11" width="22.25" style="83" bestFit="1" customWidth="1"/>
    <col min="12" max="16384" width="9" style="81"/>
  </cols>
  <sheetData>
    <row r="2" spans="2:17" x14ac:dyDescent="0.3">
      <c r="B2" s="36" t="s">
        <v>199</v>
      </c>
      <c r="D2" s="82"/>
    </row>
    <row r="3" spans="2:17" x14ac:dyDescent="0.3">
      <c r="B3" s="36" t="s">
        <v>191</v>
      </c>
    </row>
    <row r="4" spans="2:17" ht="17.25" thickBot="1" x14ac:dyDescent="0.35"/>
    <row r="5" spans="2:17" ht="97.5" customHeight="1" x14ac:dyDescent="0.3">
      <c r="B5" s="84"/>
      <c r="C5" s="85" t="s">
        <v>163</v>
      </c>
      <c r="D5" s="86"/>
      <c r="E5" s="86"/>
      <c r="F5" s="87"/>
    </row>
    <row r="6" spans="2:17" ht="17.25" thickBot="1" x14ac:dyDescent="0.35">
      <c r="B6" s="88"/>
      <c r="C6" s="89"/>
      <c r="D6" s="89"/>
      <c r="E6" s="89"/>
      <c r="F6" s="90"/>
    </row>
    <row r="7" spans="2:17" ht="31.5" thickBot="1" x14ac:dyDescent="0.35">
      <c r="B7" s="91" t="s">
        <v>51</v>
      </c>
      <c r="C7" s="91" t="s">
        <v>82</v>
      </c>
      <c r="D7" s="92" t="s">
        <v>0</v>
      </c>
      <c r="E7" s="91" t="s">
        <v>97</v>
      </c>
      <c r="F7" s="91" t="s">
        <v>83</v>
      </c>
    </row>
    <row r="8" spans="2:17" x14ac:dyDescent="0.3">
      <c r="B8" s="83" t="s">
        <v>104</v>
      </c>
      <c r="C8" s="93" t="s">
        <v>84</v>
      </c>
      <c r="D8" s="115">
        <v>43408</v>
      </c>
      <c r="E8" s="94">
        <f t="shared" ref="E8:E39" si="0">F8/160</f>
        <v>8.1593750000000007</v>
      </c>
      <c r="F8" s="95">
        <v>1305.5</v>
      </c>
    </row>
    <row r="9" spans="2:17" x14ac:dyDescent="0.3">
      <c r="B9" s="83" t="s">
        <v>104</v>
      </c>
      <c r="C9" s="93" t="s">
        <v>84</v>
      </c>
      <c r="D9" s="115">
        <v>43804</v>
      </c>
      <c r="E9" s="94">
        <f t="shared" si="0"/>
        <v>5.96875</v>
      </c>
      <c r="F9" s="95">
        <v>955</v>
      </c>
    </row>
    <row r="10" spans="2:17" x14ac:dyDescent="0.3">
      <c r="B10" s="83" t="s">
        <v>104</v>
      </c>
      <c r="C10" s="93" t="s">
        <v>84</v>
      </c>
      <c r="D10" s="115">
        <v>44110</v>
      </c>
      <c r="E10" s="94">
        <f t="shared" si="0"/>
        <v>5.8062500000000004</v>
      </c>
      <c r="F10" s="95">
        <v>929</v>
      </c>
      <c r="I10" s="96"/>
      <c r="J10" s="96"/>
      <c r="K10" s="96"/>
      <c r="L10" s="97"/>
      <c r="M10" s="97"/>
      <c r="N10" s="97"/>
      <c r="O10" s="97"/>
      <c r="P10" s="97"/>
      <c r="Q10" s="97"/>
    </row>
    <row r="11" spans="2:17" x14ac:dyDescent="0.3">
      <c r="B11" s="83" t="s">
        <v>104</v>
      </c>
      <c r="C11" s="93" t="s">
        <v>84</v>
      </c>
      <c r="D11" s="115">
        <v>44111</v>
      </c>
      <c r="E11" s="94">
        <f t="shared" si="0"/>
        <v>4.0046875000000002</v>
      </c>
      <c r="F11" s="95">
        <v>640.75</v>
      </c>
      <c r="I11" s="96"/>
      <c r="J11" s="96"/>
      <c r="K11" s="96"/>
      <c r="L11" s="97"/>
      <c r="M11" s="97"/>
      <c r="N11" s="97"/>
      <c r="O11" s="97"/>
      <c r="P11" s="97"/>
      <c r="Q11" s="97"/>
    </row>
    <row r="12" spans="2:17" x14ac:dyDescent="0.3">
      <c r="B12" s="83" t="s">
        <v>103</v>
      </c>
      <c r="C12" s="93" t="s">
        <v>99</v>
      </c>
      <c r="D12" s="115">
        <v>43361</v>
      </c>
      <c r="E12" s="94">
        <f t="shared" si="0"/>
        <v>8.90625</v>
      </c>
      <c r="F12" s="95">
        <v>1425</v>
      </c>
      <c r="I12" s="98"/>
      <c r="J12" s="93"/>
      <c r="K12" s="93"/>
      <c r="L12" s="99"/>
      <c r="M12" s="100"/>
    </row>
    <row r="13" spans="2:17" x14ac:dyDescent="0.3">
      <c r="B13" s="83" t="s">
        <v>103</v>
      </c>
      <c r="C13" s="93" t="s">
        <v>99</v>
      </c>
      <c r="D13" s="115">
        <v>43727</v>
      </c>
      <c r="E13" s="94">
        <f t="shared" si="0"/>
        <v>6.5374999999999996</v>
      </c>
      <c r="F13" s="95">
        <v>1046</v>
      </c>
      <c r="I13" s="98"/>
      <c r="J13" s="93"/>
      <c r="K13" s="93"/>
      <c r="L13" s="99"/>
      <c r="M13" s="100"/>
    </row>
    <row r="14" spans="2:17" x14ac:dyDescent="0.3">
      <c r="B14" s="83" t="s">
        <v>103</v>
      </c>
      <c r="C14" s="93" t="s">
        <v>99</v>
      </c>
      <c r="D14" s="115">
        <v>44094</v>
      </c>
      <c r="E14" s="94">
        <f t="shared" si="0"/>
        <v>5.8125</v>
      </c>
      <c r="F14" s="95">
        <v>930</v>
      </c>
      <c r="I14" s="98"/>
      <c r="J14" s="93"/>
      <c r="K14" s="93"/>
      <c r="L14" s="99"/>
      <c r="M14" s="100"/>
    </row>
    <row r="15" spans="2:17" x14ac:dyDescent="0.3">
      <c r="B15" s="83" t="s">
        <v>103</v>
      </c>
      <c r="C15" s="93" t="s">
        <v>99</v>
      </c>
      <c r="D15" s="115">
        <v>44078</v>
      </c>
      <c r="E15" s="94">
        <f t="shared" si="0"/>
        <v>5.7687499999999998</v>
      </c>
      <c r="F15" s="95">
        <v>923</v>
      </c>
      <c r="I15" s="98"/>
      <c r="J15" s="93"/>
      <c r="K15" s="93"/>
      <c r="L15" s="99"/>
      <c r="M15" s="100"/>
    </row>
    <row r="16" spans="2:17" x14ac:dyDescent="0.3">
      <c r="B16" s="83" t="s">
        <v>103</v>
      </c>
      <c r="C16" s="93" t="s">
        <v>99</v>
      </c>
      <c r="D16" s="115">
        <v>44095</v>
      </c>
      <c r="E16" s="94">
        <f t="shared" si="0"/>
        <v>5.6078124999999996</v>
      </c>
      <c r="F16" s="95">
        <v>897.25</v>
      </c>
      <c r="I16" s="98"/>
      <c r="J16" s="93"/>
      <c r="K16" s="93"/>
      <c r="L16" s="99"/>
      <c r="M16" s="100"/>
    </row>
    <row r="17" spans="2:13" x14ac:dyDescent="0.3">
      <c r="B17" s="83" t="s">
        <v>103</v>
      </c>
      <c r="C17" s="93" t="s">
        <v>99</v>
      </c>
      <c r="D17" s="115">
        <v>44094</v>
      </c>
      <c r="E17" s="94">
        <f t="shared" si="0"/>
        <v>5.4749999999999996</v>
      </c>
      <c r="F17" s="95">
        <v>876</v>
      </c>
      <c r="I17" s="98"/>
      <c r="J17" s="93"/>
      <c r="K17" s="93"/>
      <c r="L17" s="99"/>
      <c r="M17" s="100"/>
    </row>
    <row r="18" spans="2:13" x14ac:dyDescent="0.3">
      <c r="B18" s="83" t="s">
        <v>103</v>
      </c>
      <c r="C18" s="93" t="s">
        <v>99</v>
      </c>
      <c r="D18" s="115">
        <v>44089</v>
      </c>
      <c r="E18" s="94">
        <f t="shared" si="0"/>
        <v>5.3421874999999996</v>
      </c>
      <c r="F18" s="95">
        <v>854.75</v>
      </c>
    </row>
    <row r="19" spans="2:13" x14ac:dyDescent="0.3">
      <c r="B19" s="83" t="s">
        <v>103</v>
      </c>
      <c r="C19" s="93" t="s">
        <v>99</v>
      </c>
      <c r="D19" s="115">
        <v>44079</v>
      </c>
      <c r="E19" s="94">
        <f t="shared" si="0"/>
        <v>4.5734374999999998</v>
      </c>
      <c r="F19" s="95">
        <v>731.75</v>
      </c>
    </row>
    <row r="20" spans="2:13" x14ac:dyDescent="0.3">
      <c r="B20" s="83" t="s">
        <v>103</v>
      </c>
      <c r="C20" s="93" t="s">
        <v>99</v>
      </c>
      <c r="D20" s="115">
        <v>44083</v>
      </c>
      <c r="E20" s="94">
        <f t="shared" si="0"/>
        <v>4.2312500000000002</v>
      </c>
      <c r="F20" s="95">
        <v>677</v>
      </c>
      <c r="I20" s="98"/>
    </row>
    <row r="21" spans="2:13" x14ac:dyDescent="0.3">
      <c r="B21" s="83" t="s">
        <v>103</v>
      </c>
      <c r="C21" s="93" t="s">
        <v>99</v>
      </c>
      <c r="D21" s="115">
        <v>44081</v>
      </c>
      <c r="E21" s="94">
        <f t="shared" si="0"/>
        <v>3.3015625000000002</v>
      </c>
      <c r="F21" s="95">
        <v>528.25</v>
      </c>
    </row>
    <row r="22" spans="2:13" x14ac:dyDescent="0.3">
      <c r="B22" s="83" t="s">
        <v>103</v>
      </c>
      <c r="C22" s="93" t="s">
        <v>99</v>
      </c>
      <c r="D22" s="115">
        <v>44082</v>
      </c>
      <c r="E22" s="94">
        <f t="shared" si="0"/>
        <v>3.1687500000000002</v>
      </c>
      <c r="F22" s="95">
        <v>507</v>
      </c>
    </row>
    <row r="23" spans="2:13" x14ac:dyDescent="0.3">
      <c r="B23" s="83" t="s">
        <v>103</v>
      </c>
      <c r="C23" s="93" t="s">
        <v>99</v>
      </c>
      <c r="D23" s="115">
        <v>42984</v>
      </c>
      <c r="E23" s="94">
        <f t="shared" si="0"/>
        <v>3.0359375000000002</v>
      </c>
      <c r="F23" s="95">
        <v>485.75</v>
      </c>
      <c r="I23" s="98"/>
    </row>
    <row r="24" spans="2:13" x14ac:dyDescent="0.3">
      <c r="B24" s="83" t="s">
        <v>65</v>
      </c>
      <c r="C24" s="93" t="s">
        <v>85</v>
      </c>
      <c r="D24" s="115">
        <v>43320</v>
      </c>
      <c r="E24" s="94">
        <f t="shared" si="0"/>
        <v>7.03125</v>
      </c>
      <c r="F24" s="95">
        <v>1125</v>
      </c>
    </row>
    <row r="25" spans="2:13" x14ac:dyDescent="0.3">
      <c r="B25" s="83" t="s">
        <v>65</v>
      </c>
      <c r="C25" s="93" t="s">
        <v>85</v>
      </c>
      <c r="D25" s="115">
        <v>43686</v>
      </c>
      <c r="E25" s="94">
        <f t="shared" si="0"/>
        <v>6.25</v>
      </c>
      <c r="F25" s="95">
        <v>1000</v>
      </c>
    </row>
    <row r="26" spans="2:13" x14ac:dyDescent="0.3">
      <c r="B26" s="83" t="s">
        <v>65</v>
      </c>
      <c r="C26" s="93" t="s">
        <v>85</v>
      </c>
      <c r="D26" s="115">
        <v>43682</v>
      </c>
      <c r="E26" s="94">
        <f t="shared" si="0"/>
        <v>6.09375</v>
      </c>
      <c r="F26" s="95">
        <v>975</v>
      </c>
      <c r="I26" s="98"/>
    </row>
    <row r="27" spans="2:13" x14ac:dyDescent="0.3">
      <c r="B27" s="83" t="s">
        <v>65</v>
      </c>
      <c r="C27" s="93" t="s">
        <v>85</v>
      </c>
      <c r="D27" s="115">
        <v>43681</v>
      </c>
      <c r="E27" s="94">
        <f t="shared" si="0"/>
        <v>6.0343749999999954</v>
      </c>
      <c r="F27" s="95">
        <v>965.4999999999992</v>
      </c>
    </row>
    <row r="28" spans="2:13" x14ac:dyDescent="0.3">
      <c r="B28" s="83" t="s">
        <v>65</v>
      </c>
      <c r="C28" s="93" t="s">
        <v>85</v>
      </c>
      <c r="D28" s="115">
        <v>44050</v>
      </c>
      <c r="E28" s="94">
        <f t="shared" si="0"/>
        <v>4.5125000000000002</v>
      </c>
      <c r="F28" s="95">
        <v>722</v>
      </c>
    </row>
    <row r="29" spans="2:13" x14ac:dyDescent="0.3">
      <c r="B29" s="83" t="s">
        <v>65</v>
      </c>
      <c r="C29" s="93" t="s">
        <v>85</v>
      </c>
      <c r="D29" s="115">
        <v>44049</v>
      </c>
      <c r="E29" s="94">
        <f t="shared" si="0"/>
        <v>3.78125</v>
      </c>
      <c r="F29" s="95">
        <v>605</v>
      </c>
      <c r="I29" s="98"/>
    </row>
    <row r="30" spans="2:13" x14ac:dyDescent="0.3">
      <c r="B30" s="83" t="s">
        <v>59</v>
      </c>
      <c r="C30" s="93" t="s">
        <v>84</v>
      </c>
      <c r="D30" s="115">
        <v>43422</v>
      </c>
      <c r="E30" s="94">
        <f t="shared" si="0"/>
        <v>7.5062499999999996</v>
      </c>
      <c r="F30" s="95">
        <v>1201</v>
      </c>
    </row>
    <row r="31" spans="2:13" x14ac:dyDescent="0.3">
      <c r="B31" s="83" t="s">
        <v>59</v>
      </c>
      <c r="C31" s="93" t="s">
        <v>84</v>
      </c>
      <c r="D31" s="115">
        <v>43818</v>
      </c>
      <c r="E31" s="94">
        <f t="shared" si="0"/>
        <v>6.4328124999999998</v>
      </c>
      <c r="F31" s="95">
        <v>1029.25</v>
      </c>
    </row>
    <row r="32" spans="2:13" x14ac:dyDescent="0.3">
      <c r="B32" s="83" t="s">
        <v>59</v>
      </c>
      <c r="C32" s="93" t="s">
        <v>84</v>
      </c>
      <c r="D32" s="115">
        <v>44112</v>
      </c>
      <c r="E32" s="94">
        <f t="shared" si="0"/>
        <v>4.9718749999999998</v>
      </c>
      <c r="F32" s="95">
        <v>795.5</v>
      </c>
      <c r="I32" s="98"/>
    </row>
    <row r="33" spans="2:6" x14ac:dyDescent="0.3">
      <c r="B33" s="83" t="s">
        <v>59</v>
      </c>
      <c r="C33" s="93" t="s">
        <v>84</v>
      </c>
      <c r="D33" s="115">
        <v>44154</v>
      </c>
      <c r="E33" s="94">
        <f t="shared" si="0"/>
        <v>4.8187499999999996</v>
      </c>
      <c r="F33" s="95">
        <v>771</v>
      </c>
    </row>
    <row r="34" spans="2:6" x14ac:dyDescent="0.3">
      <c r="B34" s="83" t="s">
        <v>59</v>
      </c>
      <c r="C34" s="93" t="s">
        <v>84</v>
      </c>
      <c r="D34" s="115">
        <v>44113</v>
      </c>
      <c r="E34" s="94">
        <f t="shared" si="0"/>
        <v>4.4406249999999998</v>
      </c>
      <c r="F34" s="95">
        <v>710.5</v>
      </c>
    </row>
    <row r="35" spans="2:6" x14ac:dyDescent="0.3">
      <c r="B35" s="83" t="s">
        <v>101</v>
      </c>
      <c r="C35" s="93" t="s">
        <v>102</v>
      </c>
      <c r="D35" s="115">
        <v>43334</v>
      </c>
      <c r="E35" s="94">
        <f t="shared" si="0"/>
        <v>13.3125</v>
      </c>
      <c r="F35" s="95">
        <v>2130</v>
      </c>
    </row>
    <row r="36" spans="2:6" x14ac:dyDescent="0.3">
      <c r="B36" s="83" t="s">
        <v>101</v>
      </c>
      <c r="C36" s="93" t="s">
        <v>102</v>
      </c>
      <c r="D36" s="115">
        <v>43331</v>
      </c>
      <c r="E36" s="94">
        <f t="shared" si="0"/>
        <v>9.4312500000000004</v>
      </c>
      <c r="F36" s="95">
        <v>1509</v>
      </c>
    </row>
    <row r="37" spans="2:6" x14ac:dyDescent="0.3">
      <c r="B37" s="83" t="s">
        <v>101</v>
      </c>
      <c r="C37" s="93" t="s">
        <v>102</v>
      </c>
      <c r="D37" s="115">
        <v>43335</v>
      </c>
      <c r="E37" s="94">
        <f t="shared" si="0"/>
        <v>8.2531250000000007</v>
      </c>
      <c r="F37" s="95">
        <v>1320.5</v>
      </c>
    </row>
    <row r="38" spans="2:6" x14ac:dyDescent="0.3">
      <c r="B38" s="83" t="s">
        <v>101</v>
      </c>
      <c r="C38" s="93" t="s">
        <v>102</v>
      </c>
      <c r="D38" s="115">
        <v>43332</v>
      </c>
      <c r="E38" s="94">
        <f t="shared" si="0"/>
        <v>7.8937499999999998</v>
      </c>
      <c r="F38" s="95">
        <v>1263</v>
      </c>
    </row>
    <row r="39" spans="2:6" x14ac:dyDescent="0.3">
      <c r="B39" s="83" t="s">
        <v>101</v>
      </c>
      <c r="C39" s="93" t="s">
        <v>102</v>
      </c>
      <c r="D39" s="115">
        <v>43698</v>
      </c>
      <c r="E39" s="94">
        <f t="shared" si="0"/>
        <v>6.1749999999999998</v>
      </c>
      <c r="F39" s="95">
        <v>988</v>
      </c>
    </row>
    <row r="40" spans="2:6" x14ac:dyDescent="0.3">
      <c r="B40" s="83" t="s">
        <v>98</v>
      </c>
      <c r="C40" s="93" t="s">
        <v>99</v>
      </c>
      <c r="D40" s="115">
        <v>43360</v>
      </c>
      <c r="E40" s="94">
        <f t="shared" ref="E40:E71" si="1">F40/160</f>
        <v>8.15625</v>
      </c>
      <c r="F40" s="95">
        <v>1305</v>
      </c>
    </row>
    <row r="41" spans="2:6" x14ac:dyDescent="0.3">
      <c r="B41" s="83" t="s">
        <v>98</v>
      </c>
      <c r="C41" s="93" t="s">
        <v>99</v>
      </c>
      <c r="D41" s="115">
        <v>43367</v>
      </c>
      <c r="E41" s="94">
        <f t="shared" si="1"/>
        <v>7.8156249999999998</v>
      </c>
      <c r="F41" s="95">
        <v>1250.5</v>
      </c>
    </row>
    <row r="42" spans="2:6" x14ac:dyDescent="0.3">
      <c r="B42" s="83" t="s">
        <v>98</v>
      </c>
      <c r="C42" s="93" t="s">
        <v>99</v>
      </c>
      <c r="D42" s="115">
        <v>43727</v>
      </c>
      <c r="E42" s="94">
        <f t="shared" si="1"/>
        <v>6.1375000000000002</v>
      </c>
      <c r="F42" s="95">
        <v>982</v>
      </c>
    </row>
    <row r="43" spans="2:6" x14ac:dyDescent="0.3">
      <c r="B43" s="83" t="s">
        <v>98</v>
      </c>
      <c r="C43" s="93" t="s">
        <v>99</v>
      </c>
      <c r="D43" s="115">
        <v>43731</v>
      </c>
      <c r="E43" s="94">
        <f t="shared" si="1"/>
        <v>6.0062499999999952</v>
      </c>
      <c r="F43" s="95">
        <v>960.9999999999992</v>
      </c>
    </row>
    <row r="44" spans="2:6" x14ac:dyDescent="0.3">
      <c r="B44" s="83" t="s">
        <v>98</v>
      </c>
      <c r="C44" s="93" t="s">
        <v>99</v>
      </c>
      <c r="D44" s="115">
        <v>44090</v>
      </c>
      <c r="E44" s="94">
        <f t="shared" si="1"/>
        <v>5.3125</v>
      </c>
      <c r="F44" s="95">
        <v>850</v>
      </c>
    </row>
    <row r="45" spans="2:6" x14ac:dyDescent="0.3">
      <c r="B45" s="83" t="s">
        <v>98</v>
      </c>
      <c r="C45" s="93" t="s">
        <v>99</v>
      </c>
      <c r="D45" s="115">
        <v>44092</v>
      </c>
      <c r="E45" s="94">
        <f t="shared" si="1"/>
        <v>5.2374999999999954</v>
      </c>
      <c r="F45" s="95">
        <v>837.9999999999992</v>
      </c>
    </row>
    <row r="46" spans="2:6" x14ac:dyDescent="0.3">
      <c r="B46" s="83" t="s">
        <v>98</v>
      </c>
      <c r="C46" s="93" t="s">
        <v>99</v>
      </c>
      <c r="D46" s="115">
        <v>44096</v>
      </c>
      <c r="E46" s="94">
        <f t="shared" si="1"/>
        <v>4.7468750000000002</v>
      </c>
      <c r="F46" s="95">
        <v>759.5</v>
      </c>
    </row>
    <row r="47" spans="2:6" x14ac:dyDescent="0.3">
      <c r="B47" s="83" t="s">
        <v>98</v>
      </c>
      <c r="C47" s="93" t="s">
        <v>99</v>
      </c>
      <c r="D47" s="115">
        <v>44094</v>
      </c>
      <c r="E47" s="94">
        <f t="shared" si="1"/>
        <v>3.6999999999999948</v>
      </c>
      <c r="F47" s="95">
        <v>591.9999999999992</v>
      </c>
    </row>
    <row r="48" spans="2:6" x14ac:dyDescent="0.3">
      <c r="B48" s="83" t="s">
        <v>98</v>
      </c>
      <c r="C48" s="93" t="s">
        <v>99</v>
      </c>
      <c r="D48" s="115">
        <v>44095</v>
      </c>
      <c r="E48" s="94">
        <f t="shared" si="1"/>
        <v>3.4375</v>
      </c>
      <c r="F48" s="95">
        <v>550</v>
      </c>
    </row>
    <row r="49" spans="2:6" x14ac:dyDescent="0.3">
      <c r="B49" s="83" t="s">
        <v>61</v>
      </c>
      <c r="C49" s="93" t="s">
        <v>85</v>
      </c>
      <c r="D49" s="115">
        <v>43328</v>
      </c>
      <c r="E49" s="94">
        <f t="shared" si="1"/>
        <v>14.5</v>
      </c>
      <c r="F49" s="95">
        <v>2320</v>
      </c>
    </row>
    <row r="50" spans="2:6" x14ac:dyDescent="0.3">
      <c r="B50" s="83" t="s">
        <v>61</v>
      </c>
      <c r="C50" s="93" t="s">
        <v>85</v>
      </c>
      <c r="D50" s="115">
        <v>43330</v>
      </c>
      <c r="E50" s="94">
        <f t="shared" si="1"/>
        <v>6.6703124999999996</v>
      </c>
      <c r="F50" s="95">
        <v>1067.25</v>
      </c>
    </row>
    <row r="51" spans="2:6" x14ac:dyDescent="0.3">
      <c r="B51" s="83" t="s">
        <v>61</v>
      </c>
      <c r="C51" s="93" t="s">
        <v>85</v>
      </c>
      <c r="D51" s="115">
        <v>43694</v>
      </c>
      <c r="E51" s="94">
        <f t="shared" si="1"/>
        <v>5.9249999999999998</v>
      </c>
      <c r="F51" s="95">
        <v>948</v>
      </c>
    </row>
    <row r="52" spans="2:6" x14ac:dyDescent="0.3">
      <c r="B52" s="83" t="s">
        <v>61</v>
      </c>
      <c r="C52" s="93" t="s">
        <v>85</v>
      </c>
      <c r="D52" s="115">
        <v>44062</v>
      </c>
      <c r="E52" s="94">
        <f t="shared" si="1"/>
        <v>5.9015624999999998</v>
      </c>
      <c r="F52" s="95">
        <v>944.25</v>
      </c>
    </row>
    <row r="53" spans="2:6" x14ac:dyDescent="0.3">
      <c r="B53" s="83" t="s">
        <v>61</v>
      </c>
      <c r="C53" s="93" t="s">
        <v>85</v>
      </c>
      <c r="D53" s="115">
        <v>44063</v>
      </c>
      <c r="E53" s="94">
        <f t="shared" si="1"/>
        <v>5.5031249999999998</v>
      </c>
      <c r="F53" s="95">
        <v>880.5</v>
      </c>
    </row>
    <row r="54" spans="2:6" x14ac:dyDescent="0.3">
      <c r="B54" s="83" t="s">
        <v>61</v>
      </c>
      <c r="C54" s="93" t="s">
        <v>85</v>
      </c>
      <c r="D54" s="115">
        <v>44061</v>
      </c>
      <c r="E54" s="94">
        <f t="shared" si="1"/>
        <v>5.46875</v>
      </c>
      <c r="F54" s="95">
        <v>875</v>
      </c>
    </row>
    <row r="55" spans="2:6" x14ac:dyDescent="0.3">
      <c r="B55" s="83" t="s">
        <v>61</v>
      </c>
      <c r="C55" s="93" t="s">
        <v>85</v>
      </c>
      <c r="D55" s="115">
        <v>44064</v>
      </c>
      <c r="E55" s="94">
        <f t="shared" si="1"/>
        <v>4.3640625000000002</v>
      </c>
      <c r="F55" s="95">
        <v>698.25</v>
      </c>
    </row>
    <row r="56" spans="2:6" x14ac:dyDescent="0.3">
      <c r="B56" s="83" t="s">
        <v>61</v>
      </c>
      <c r="C56" s="93" t="s">
        <v>85</v>
      </c>
      <c r="D56" s="115">
        <v>44058</v>
      </c>
      <c r="E56" s="94">
        <f t="shared" si="1"/>
        <v>3.9656250000000002</v>
      </c>
      <c r="F56" s="95">
        <v>634.5</v>
      </c>
    </row>
    <row r="57" spans="2:6" x14ac:dyDescent="0.3">
      <c r="B57" s="83" t="s">
        <v>61</v>
      </c>
      <c r="C57" s="93" t="s">
        <v>85</v>
      </c>
      <c r="D57" s="115">
        <v>44063</v>
      </c>
      <c r="E57" s="94">
        <f t="shared" si="1"/>
        <v>3.8125</v>
      </c>
      <c r="F57" s="95">
        <v>610</v>
      </c>
    </row>
    <row r="58" spans="2:6" x14ac:dyDescent="0.3">
      <c r="B58" s="83" t="s">
        <v>100</v>
      </c>
      <c r="C58" s="93" t="s">
        <v>99</v>
      </c>
      <c r="D58" s="115">
        <v>43406</v>
      </c>
      <c r="E58" s="94">
        <f t="shared" si="1"/>
        <v>8.1312499999999996</v>
      </c>
      <c r="F58" s="95">
        <v>1301</v>
      </c>
    </row>
    <row r="59" spans="2:6" x14ac:dyDescent="0.3">
      <c r="B59" s="83" t="s">
        <v>100</v>
      </c>
      <c r="C59" s="93" t="s">
        <v>99</v>
      </c>
      <c r="D59" s="115">
        <v>43371</v>
      </c>
      <c r="E59" s="94">
        <f t="shared" si="1"/>
        <v>7.5</v>
      </c>
      <c r="F59" s="95">
        <v>1200</v>
      </c>
    </row>
    <row r="60" spans="2:6" x14ac:dyDescent="0.3">
      <c r="B60" s="83" t="s">
        <v>100</v>
      </c>
      <c r="C60" s="93" t="s">
        <v>99</v>
      </c>
      <c r="D60" s="115">
        <v>43370</v>
      </c>
      <c r="E60" s="94">
        <f t="shared" si="1"/>
        <v>7.3624999999999998</v>
      </c>
      <c r="F60" s="95">
        <v>1178</v>
      </c>
    </row>
    <row r="61" spans="2:6" x14ac:dyDescent="0.3">
      <c r="B61" s="83" t="s">
        <v>100</v>
      </c>
      <c r="C61" s="93" t="s">
        <v>99</v>
      </c>
      <c r="D61" s="115">
        <v>44105</v>
      </c>
      <c r="E61" s="94">
        <f t="shared" si="1"/>
        <v>5.8250000000000002</v>
      </c>
      <c r="F61" s="95">
        <v>932</v>
      </c>
    </row>
    <row r="62" spans="2:6" x14ac:dyDescent="0.3">
      <c r="B62" s="83" t="s">
        <v>100</v>
      </c>
      <c r="C62" s="93" t="s">
        <v>99</v>
      </c>
      <c r="D62" s="115">
        <v>44168</v>
      </c>
      <c r="E62" s="94">
        <f t="shared" si="1"/>
        <v>4.9437499999999996</v>
      </c>
      <c r="F62" s="95">
        <v>791</v>
      </c>
    </row>
    <row r="63" spans="2:6" x14ac:dyDescent="0.3">
      <c r="B63" s="83" t="s">
        <v>100</v>
      </c>
      <c r="C63" s="93" t="s">
        <v>99</v>
      </c>
      <c r="D63" s="115">
        <v>44099</v>
      </c>
      <c r="E63" s="94">
        <f t="shared" si="1"/>
        <v>4.8390624999999998</v>
      </c>
      <c r="F63" s="95">
        <v>774.25</v>
      </c>
    </row>
    <row r="64" spans="2:6" x14ac:dyDescent="0.3">
      <c r="B64" s="83" t="s">
        <v>100</v>
      </c>
      <c r="C64" s="93" t="s">
        <v>99</v>
      </c>
      <c r="D64" s="115">
        <v>44100</v>
      </c>
      <c r="E64" s="94">
        <f t="shared" si="1"/>
        <v>4.7062499999999998</v>
      </c>
      <c r="F64" s="95">
        <v>753</v>
      </c>
    </row>
    <row r="65" spans="2:6" x14ac:dyDescent="0.3">
      <c r="B65" s="83" t="s">
        <v>100</v>
      </c>
      <c r="C65" s="93" t="s">
        <v>99</v>
      </c>
      <c r="D65" s="115">
        <v>44103</v>
      </c>
      <c r="E65" s="94">
        <f t="shared" si="1"/>
        <v>4.1749999999999998</v>
      </c>
      <c r="F65" s="95">
        <v>668</v>
      </c>
    </row>
    <row r="66" spans="2:6" x14ac:dyDescent="0.3">
      <c r="B66" s="83" t="s">
        <v>100</v>
      </c>
      <c r="C66" s="93" t="s">
        <v>99</v>
      </c>
      <c r="D66" s="115">
        <v>43008</v>
      </c>
      <c r="E66" s="94">
        <f t="shared" si="1"/>
        <v>2.6375000000000002</v>
      </c>
      <c r="F66" s="95">
        <v>422</v>
      </c>
    </row>
    <row r="67" spans="2:6" x14ac:dyDescent="0.3">
      <c r="B67" s="83" t="s">
        <v>64</v>
      </c>
      <c r="C67" s="93" t="s">
        <v>84</v>
      </c>
      <c r="D67" s="115">
        <v>43420</v>
      </c>
      <c r="E67" s="94">
        <f t="shared" si="1"/>
        <v>9.3874999999999993</v>
      </c>
      <c r="F67" s="95">
        <v>1502</v>
      </c>
    </row>
    <row r="68" spans="2:6" x14ac:dyDescent="0.3">
      <c r="B68" s="83" t="s">
        <v>64</v>
      </c>
      <c r="C68" s="93" t="s">
        <v>84</v>
      </c>
      <c r="D68" s="115">
        <v>43419</v>
      </c>
      <c r="E68" s="94">
        <f t="shared" si="1"/>
        <v>9.375</v>
      </c>
      <c r="F68" s="95">
        <v>1500</v>
      </c>
    </row>
    <row r="69" spans="2:6" x14ac:dyDescent="0.3">
      <c r="B69" s="83" t="s">
        <v>64</v>
      </c>
      <c r="C69" s="93" t="s">
        <v>84</v>
      </c>
      <c r="D69" s="115">
        <v>43421</v>
      </c>
      <c r="E69" s="94">
        <f t="shared" si="1"/>
        <v>6.8031249999999996</v>
      </c>
      <c r="F69" s="95">
        <v>1088.5</v>
      </c>
    </row>
    <row r="70" spans="2:6" x14ac:dyDescent="0.3">
      <c r="B70" s="83" t="s">
        <v>64</v>
      </c>
      <c r="C70" s="93" t="s">
        <v>84</v>
      </c>
      <c r="D70" s="115">
        <v>43819</v>
      </c>
      <c r="E70" s="94">
        <f t="shared" si="1"/>
        <v>6.6218750000000002</v>
      </c>
      <c r="F70" s="95">
        <v>1059.5</v>
      </c>
    </row>
    <row r="71" spans="2:6" x14ac:dyDescent="0.3">
      <c r="B71" s="83" t="s">
        <v>64</v>
      </c>
      <c r="C71" s="93" t="s">
        <v>84</v>
      </c>
      <c r="D71" s="115">
        <v>44186</v>
      </c>
      <c r="E71" s="94">
        <f t="shared" si="1"/>
        <v>4.4968749999999948</v>
      </c>
      <c r="F71" s="95">
        <v>719.4999999999992</v>
      </c>
    </row>
    <row r="72" spans="2:6" x14ac:dyDescent="0.3">
      <c r="B72" s="83" t="s">
        <v>105</v>
      </c>
      <c r="C72" s="93" t="s">
        <v>102</v>
      </c>
      <c r="D72" s="115">
        <v>43338</v>
      </c>
      <c r="E72" s="94">
        <f t="shared" ref="E72:E89" si="2">F72/160</f>
        <v>7.6281249999999998</v>
      </c>
      <c r="F72" s="95">
        <v>1220.5</v>
      </c>
    </row>
    <row r="73" spans="2:6" x14ac:dyDescent="0.3">
      <c r="B73" s="83" t="s">
        <v>105</v>
      </c>
      <c r="C73" s="93" t="s">
        <v>102</v>
      </c>
      <c r="D73" s="115">
        <v>43702</v>
      </c>
      <c r="E73" s="94">
        <f t="shared" si="2"/>
        <v>6.3</v>
      </c>
      <c r="F73" s="95">
        <v>1008</v>
      </c>
    </row>
    <row r="74" spans="2:6" x14ac:dyDescent="0.3">
      <c r="B74" s="83" t="s">
        <v>105</v>
      </c>
      <c r="C74" s="93" t="s">
        <v>102</v>
      </c>
      <c r="D74" s="115">
        <v>43704</v>
      </c>
      <c r="E74" s="94">
        <f t="shared" si="2"/>
        <v>6.0906250000000002</v>
      </c>
      <c r="F74" s="95">
        <v>974.5</v>
      </c>
    </row>
    <row r="75" spans="2:6" x14ac:dyDescent="0.3">
      <c r="B75" s="83" t="s">
        <v>105</v>
      </c>
      <c r="C75" s="93" t="s">
        <v>102</v>
      </c>
      <c r="D75" s="115">
        <v>44067</v>
      </c>
      <c r="E75" s="94">
        <f t="shared" si="2"/>
        <v>5.3703124999999998</v>
      </c>
      <c r="F75" s="95">
        <v>859.25</v>
      </c>
    </row>
    <row r="76" spans="2:6" x14ac:dyDescent="0.3">
      <c r="B76" s="83" t="s">
        <v>105</v>
      </c>
      <c r="C76" s="93" t="s">
        <v>102</v>
      </c>
      <c r="D76" s="115">
        <v>44071</v>
      </c>
      <c r="E76" s="94">
        <f t="shared" si="2"/>
        <v>4.7625000000000002</v>
      </c>
      <c r="F76" s="95">
        <v>762</v>
      </c>
    </row>
    <row r="77" spans="2:6" x14ac:dyDescent="0.3">
      <c r="B77" s="83" t="s">
        <v>105</v>
      </c>
      <c r="C77" s="93" t="s">
        <v>102</v>
      </c>
      <c r="D77" s="115">
        <v>44072</v>
      </c>
      <c r="E77" s="94">
        <f t="shared" si="2"/>
        <v>3.8328125000000002</v>
      </c>
      <c r="F77" s="95">
        <v>613.25</v>
      </c>
    </row>
    <row r="78" spans="2:6" x14ac:dyDescent="0.3">
      <c r="B78" s="83" t="s">
        <v>107</v>
      </c>
      <c r="C78" s="93" t="s">
        <v>84</v>
      </c>
      <c r="D78" s="115">
        <v>43427</v>
      </c>
      <c r="E78" s="94">
        <f t="shared" si="2"/>
        <v>17.5</v>
      </c>
      <c r="F78" s="95">
        <v>2800</v>
      </c>
    </row>
    <row r="79" spans="2:6" x14ac:dyDescent="0.3">
      <c r="B79" s="83" t="s">
        <v>107</v>
      </c>
      <c r="C79" s="93" t="s">
        <v>84</v>
      </c>
      <c r="D79" s="115">
        <v>43428</v>
      </c>
      <c r="E79" s="94">
        <f t="shared" si="2"/>
        <v>7.2015624999999996</v>
      </c>
      <c r="F79" s="95">
        <v>1152.25</v>
      </c>
    </row>
    <row r="80" spans="2:6" x14ac:dyDescent="0.3">
      <c r="B80" s="83" t="s">
        <v>107</v>
      </c>
      <c r="C80" s="93" t="s">
        <v>84</v>
      </c>
      <c r="D80" s="115">
        <v>44156</v>
      </c>
      <c r="E80" s="94">
        <f t="shared" si="2"/>
        <v>5.7406249999999996</v>
      </c>
      <c r="F80" s="95">
        <v>918.5</v>
      </c>
    </row>
    <row r="81" spans="2:6" x14ac:dyDescent="0.3">
      <c r="B81" s="83" t="s">
        <v>107</v>
      </c>
      <c r="C81" s="93" t="s">
        <v>84</v>
      </c>
      <c r="D81" s="115">
        <v>44157</v>
      </c>
      <c r="E81" s="94">
        <f t="shared" si="2"/>
        <v>5.2093749999999996</v>
      </c>
      <c r="F81" s="95">
        <v>833.5</v>
      </c>
    </row>
    <row r="82" spans="2:6" x14ac:dyDescent="0.3">
      <c r="B82" s="83" t="s">
        <v>107</v>
      </c>
      <c r="C82" s="93" t="s">
        <v>84</v>
      </c>
      <c r="D82" s="115">
        <v>44184</v>
      </c>
      <c r="E82" s="94">
        <f t="shared" si="2"/>
        <v>4.8953125000000002</v>
      </c>
      <c r="F82" s="95">
        <v>783.25</v>
      </c>
    </row>
    <row r="83" spans="2:6" x14ac:dyDescent="0.3">
      <c r="B83" s="83" t="s">
        <v>107</v>
      </c>
      <c r="C83" s="93" t="s">
        <v>84</v>
      </c>
      <c r="D83" s="115">
        <v>44124</v>
      </c>
      <c r="E83" s="94">
        <f t="shared" si="2"/>
        <v>3.4343750000000002</v>
      </c>
      <c r="F83" s="95">
        <v>549.5</v>
      </c>
    </row>
    <row r="84" spans="2:6" x14ac:dyDescent="0.3">
      <c r="B84" s="83" t="s">
        <v>107</v>
      </c>
      <c r="C84" s="93" t="s">
        <v>84</v>
      </c>
      <c r="D84" s="115">
        <v>43026</v>
      </c>
      <c r="E84" s="94">
        <f t="shared" si="2"/>
        <v>2.9031250000000002</v>
      </c>
      <c r="F84" s="95">
        <v>464.5</v>
      </c>
    </row>
    <row r="85" spans="2:6" x14ac:dyDescent="0.3">
      <c r="B85" s="83" t="s">
        <v>106</v>
      </c>
      <c r="C85" s="93" t="s">
        <v>102</v>
      </c>
      <c r="D85" s="115">
        <v>43709</v>
      </c>
      <c r="E85" s="94">
        <f t="shared" si="2"/>
        <v>6.3562500000000002</v>
      </c>
      <c r="F85" s="95">
        <v>1017</v>
      </c>
    </row>
    <row r="86" spans="2:6" x14ac:dyDescent="0.3">
      <c r="B86" s="83" t="s">
        <v>106</v>
      </c>
      <c r="C86" s="93" t="s">
        <v>102</v>
      </c>
      <c r="D86" s="115">
        <v>43711</v>
      </c>
      <c r="E86" s="94">
        <f t="shared" si="2"/>
        <v>6.0625</v>
      </c>
      <c r="F86" s="95">
        <v>970</v>
      </c>
    </row>
    <row r="87" spans="2:6" x14ac:dyDescent="0.3">
      <c r="B87" s="83" t="s">
        <v>106</v>
      </c>
      <c r="C87" s="93" t="s">
        <v>102</v>
      </c>
      <c r="D87" s="115">
        <v>44073</v>
      </c>
      <c r="E87" s="94">
        <f t="shared" si="2"/>
        <v>3.8250000000000002</v>
      </c>
      <c r="F87" s="95">
        <v>612</v>
      </c>
    </row>
    <row r="88" spans="2:6" x14ac:dyDescent="0.3">
      <c r="B88" s="83" t="s">
        <v>106</v>
      </c>
      <c r="C88" s="93" t="s">
        <v>102</v>
      </c>
      <c r="D88" s="115">
        <v>42978</v>
      </c>
      <c r="E88" s="94">
        <f t="shared" si="2"/>
        <v>2.6749999999999998</v>
      </c>
      <c r="F88" s="95">
        <v>428</v>
      </c>
    </row>
    <row r="89" spans="2:6" x14ac:dyDescent="0.3">
      <c r="B89" s="83" t="s">
        <v>106</v>
      </c>
      <c r="C89" s="93" t="s">
        <v>102</v>
      </c>
      <c r="D89" s="115">
        <v>42980</v>
      </c>
      <c r="E89" s="94">
        <f t="shared" si="2"/>
        <v>2.625</v>
      </c>
      <c r="F89" s="95">
        <v>420</v>
      </c>
    </row>
    <row r="90" spans="2:6" x14ac:dyDescent="0.3">
      <c r="B90" s="101"/>
      <c r="C90" s="101"/>
      <c r="D90" s="101"/>
      <c r="E90" s="101"/>
    </row>
    <row r="91" spans="2:6" x14ac:dyDescent="0.3">
      <c r="B91" s="101"/>
      <c r="C91" s="101"/>
      <c r="D91" s="101"/>
      <c r="E91" s="101"/>
      <c r="F91" s="101"/>
    </row>
    <row r="92" spans="2:6" x14ac:dyDescent="0.3">
      <c r="B92" s="101"/>
      <c r="C92" s="101"/>
      <c r="D92" s="101"/>
      <c r="E92" s="101"/>
      <c r="F92" s="101"/>
    </row>
    <row r="93" spans="2:6" x14ac:dyDescent="0.3">
      <c r="B93" s="101"/>
      <c r="C93" s="101"/>
      <c r="D93" s="101"/>
      <c r="E93" s="101"/>
      <c r="F93" s="101"/>
    </row>
    <row r="94" spans="2:6" x14ac:dyDescent="0.3">
      <c r="B94" s="101"/>
      <c r="C94" s="101"/>
      <c r="D94" s="101"/>
      <c r="E94" s="101"/>
      <c r="F94" s="101"/>
    </row>
    <row r="95" spans="2:6" x14ac:dyDescent="0.3">
      <c r="B95" s="101"/>
      <c r="C95" s="101"/>
      <c r="D95" s="101"/>
      <c r="E95" s="101"/>
      <c r="F95" s="101"/>
    </row>
    <row r="96" spans="2:6" x14ac:dyDescent="0.3">
      <c r="B96" s="101"/>
      <c r="C96" s="101"/>
      <c r="D96" s="101"/>
      <c r="E96" s="101"/>
      <c r="F96" s="101"/>
    </row>
    <row r="97" spans="2:6" x14ac:dyDescent="0.3">
      <c r="B97" s="101"/>
      <c r="C97" s="101"/>
      <c r="D97" s="101"/>
      <c r="E97" s="101"/>
      <c r="F97" s="101"/>
    </row>
    <row r="98" spans="2:6" x14ac:dyDescent="0.3">
      <c r="B98" s="101"/>
      <c r="C98" s="101"/>
      <c r="D98" s="101"/>
      <c r="E98" s="101"/>
      <c r="F98" s="101"/>
    </row>
    <row r="99" spans="2:6" x14ac:dyDescent="0.3">
      <c r="B99" s="101"/>
      <c r="C99" s="101"/>
      <c r="D99" s="101"/>
      <c r="E99" s="101"/>
      <c r="F99" s="101"/>
    </row>
    <row r="100" spans="2:6" x14ac:dyDescent="0.3">
      <c r="B100" s="101"/>
      <c r="C100" s="101"/>
      <c r="D100" s="101"/>
      <c r="E100" s="101"/>
      <c r="F100" s="101"/>
    </row>
    <row r="101" spans="2:6" x14ac:dyDescent="0.3">
      <c r="B101" s="101"/>
      <c r="C101" s="101"/>
      <c r="D101" s="101"/>
      <c r="E101" s="101"/>
      <c r="F101" s="101"/>
    </row>
    <row r="102" spans="2:6" x14ac:dyDescent="0.3">
      <c r="B102" s="101"/>
      <c r="C102" s="101"/>
      <c r="D102" s="101"/>
      <c r="E102" s="101"/>
      <c r="F102" s="101"/>
    </row>
    <row r="103" spans="2:6" x14ac:dyDescent="0.3">
      <c r="B103" s="101"/>
      <c r="C103" s="101"/>
      <c r="D103" s="101"/>
      <c r="E103" s="101"/>
      <c r="F103" s="101"/>
    </row>
    <row r="104" spans="2:6" x14ac:dyDescent="0.3">
      <c r="B104" s="101"/>
      <c r="C104" s="101"/>
      <c r="D104" s="101"/>
      <c r="E104" s="101"/>
      <c r="F104" s="101"/>
    </row>
    <row r="105" spans="2:6" x14ac:dyDescent="0.3">
      <c r="B105" s="101"/>
      <c r="C105" s="101"/>
      <c r="D105" s="101"/>
      <c r="E105" s="101"/>
      <c r="F105" s="101"/>
    </row>
    <row r="106" spans="2:6" x14ac:dyDescent="0.3">
      <c r="B106" s="101"/>
      <c r="C106" s="101"/>
      <c r="D106" s="101"/>
      <c r="E106" s="101"/>
      <c r="F106" s="101"/>
    </row>
    <row r="107" spans="2:6" x14ac:dyDescent="0.3">
      <c r="B107" s="101"/>
      <c r="C107" s="101"/>
      <c r="D107" s="101"/>
      <c r="E107" s="101"/>
      <c r="F107" s="101"/>
    </row>
    <row r="108" spans="2:6" x14ac:dyDescent="0.3">
      <c r="B108" s="101"/>
      <c r="C108" s="101"/>
      <c r="D108" s="101"/>
      <c r="E108" s="101"/>
      <c r="F108" s="101"/>
    </row>
    <row r="109" spans="2:6" x14ac:dyDescent="0.3">
      <c r="B109" s="101"/>
      <c r="C109" s="101"/>
      <c r="D109" s="101"/>
      <c r="E109" s="101"/>
      <c r="F109" s="101"/>
    </row>
    <row r="110" spans="2:6" x14ac:dyDescent="0.3">
      <c r="B110" s="101"/>
      <c r="C110" s="101"/>
      <c r="D110" s="101"/>
      <c r="E110" s="101"/>
      <c r="F110" s="101"/>
    </row>
    <row r="111" spans="2:6" x14ac:dyDescent="0.3">
      <c r="B111" s="101"/>
      <c r="C111" s="101"/>
      <c r="D111" s="101"/>
      <c r="E111" s="101"/>
      <c r="F111" s="101"/>
    </row>
    <row r="112" spans="2:6" x14ac:dyDescent="0.3">
      <c r="B112" s="101"/>
      <c r="C112" s="101"/>
      <c r="D112" s="101"/>
      <c r="E112" s="101"/>
      <c r="F112" s="101"/>
    </row>
    <row r="113" spans="2:6" x14ac:dyDescent="0.3">
      <c r="B113" s="101"/>
      <c r="C113" s="101"/>
      <c r="D113" s="101"/>
      <c r="E113" s="101"/>
      <c r="F113" s="101"/>
    </row>
    <row r="114" spans="2:6" x14ac:dyDescent="0.3">
      <c r="B114" s="101"/>
      <c r="C114" s="101"/>
      <c r="D114" s="101"/>
      <c r="E114" s="101"/>
      <c r="F114" s="101"/>
    </row>
    <row r="115" spans="2:6" x14ac:dyDescent="0.3">
      <c r="B115" s="101"/>
      <c r="C115" s="101"/>
      <c r="D115" s="101"/>
      <c r="E115" s="101"/>
      <c r="F115" s="101"/>
    </row>
    <row r="116" spans="2:6" x14ac:dyDescent="0.3">
      <c r="B116" s="101"/>
      <c r="C116" s="101"/>
      <c r="D116" s="101"/>
      <c r="E116" s="101"/>
      <c r="F116" s="101"/>
    </row>
    <row r="117" spans="2:6" x14ac:dyDescent="0.3">
      <c r="B117" s="101"/>
      <c r="C117" s="101"/>
      <c r="D117" s="101"/>
      <c r="E117" s="101"/>
      <c r="F117" s="101"/>
    </row>
    <row r="118" spans="2:6" x14ac:dyDescent="0.3">
      <c r="B118" s="101"/>
      <c r="C118" s="101"/>
      <c r="D118" s="101"/>
      <c r="E118" s="101"/>
      <c r="F118" s="101"/>
    </row>
    <row r="119" spans="2:6" x14ac:dyDescent="0.3">
      <c r="B119" s="101"/>
      <c r="C119" s="101"/>
      <c r="D119" s="101"/>
      <c r="E119" s="101"/>
      <c r="F119" s="101"/>
    </row>
    <row r="120" spans="2:6" x14ac:dyDescent="0.3">
      <c r="B120" s="101"/>
      <c r="C120" s="101"/>
      <c r="D120" s="101"/>
      <c r="E120" s="101"/>
      <c r="F120" s="101"/>
    </row>
    <row r="121" spans="2:6" x14ac:dyDescent="0.3">
      <c r="B121" s="101"/>
      <c r="C121" s="101"/>
      <c r="D121" s="101"/>
      <c r="E121" s="101"/>
      <c r="F121" s="101"/>
    </row>
    <row r="122" spans="2:6" x14ac:dyDescent="0.3">
      <c r="B122" s="101"/>
      <c r="C122" s="101"/>
      <c r="D122" s="101"/>
      <c r="E122" s="101"/>
      <c r="F122" s="101"/>
    </row>
    <row r="123" spans="2:6" x14ac:dyDescent="0.3">
      <c r="B123" s="101"/>
      <c r="C123" s="101"/>
      <c r="D123" s="101"/>
      <c r="E123" s="101"/>
      <c r="F123" s="101"/>
    </row>
    <row r="124" spans="2:6" x14ac:dyDescent="0.3">
      <c r="B124" s="101"/>
      <c r="C124" s="101"/>
      <c r="D124" s="101"/>
      <c r="E124" s="101"/>
      <c r="F124" s="101"/>
    </row>
    <row r="125" spans="2:6" x14ac:dyDescent="0.3">
      <c r="B125" s="101"/>
      <c r="C125" s="101"/>
      <c r="D125" s="101"/>
      <c r="E125" s="101"/>
      <c r="F125" s="101"/>
    </row>
    <row r="126" spans="2:6" x14ac:dyDescent="0.3">
      <c r="B126" s="101"/>
      <c r="C126" s="101"/>
      <c r="D126" s="101"/>
      <c r="E126" s="101"/>
      <c r="F126" s="101"/>
    </row>
    <row r="127" spans="2:6" x14ac:dyDescent="0.3">
      <c r="B127" s="101"/>
      <c r="C127" s="101"/>
      <c r="D127" s="101"/>
      <c r="E127" s="101"/>
      <c r="F127" s="101"/>
    </row>
    <row r="128" spans="2:6" x14ac:dyDescent="0.3">
      <c r="B128" s="101"/>
      <c r="C128" s="101"/>
      <c r="D128" s="101"/>
      <c r="E128" s="101"/>
      <c r="F128" s="101"/>
    </row>
    <row r="129" spans="2:6" x14ac:dyDescent="0.3">
      <c r="B129" s="101"/>
      <c r="C129" s="101"/>
      <c r="D129" s="101"/>
      <c r="E129" s="101"/>
      <c r="F129" s="101"/>
    </row>
    <row r="130" spans="2:6" x14ac:dyDescent="0.3">
      <c r="B130" s="101"/>
      <c r="C130" s="101"/>
      <c r="D130" s="101"/>
      <c r="E130" s="101"/>
      <c r="F130" s="101"/>
    </row>
    <row r="131" spans="2:6" x14ac:dyDescent="0.3">
      <c r="B131" s="101"/>
      <c r="C131" s="101"/>
      <c r="D131" s="101"/>
      <c r="E131" s="101"/>
      <c r="F131" s="101"/>
    </row>
    <row r="132" spans="2:6" x14ac:dyDescent="0.3">
      <c r="B132" s="101"/>
      <c r="C132" s="101"/>
      <c r="D132" s="101"/>
      <c r="E132" s="101"/>
      <c r="F132" s="101"/>
    </row>
    <row r="133" spans="2:6" x14ac:dyDescent="0.3">
      <c r="B133" s="101"/>
      <c r="C133" s="101"/>
      <c r="D133" s="101"/>
      <c r="E133" s="101"/>
      <c r="F133" s="101"/>
    </row>
    <row r="134" spans="2:6" x14ac:dyDescent="0.3">
      <c r="B134" s="101"/>
      <c r="C134" s="101"/>
      <c r="D134" s="101"/>
      <c r="E134" s="101"/>
      <c r="F134" s="101"/>
    </row>
    <row r="135" spans="2:6" x14ac:dyDescent="0.3">
      <c r="B135" s="101"/>
      <c r="C135" s="101"/>
      <c r="D135" s="101"/>
      <c r="E135" s="101"/>
      <c r="F135" s="101"/>
    </row>
    <row r="136" spans="2:6" x14ac:dyDescent="0.3">
      <c r="B136" s="101"/>
      <c r="C136" s="101"/>
      <c r="D136" s="101"/>
      <c r="E136" s="101"/>
      <c r="F136" s="101"/>
    </row>
    <row r="137" spans="2:6" x14ac:dyDescent="0.3">
      <c r="B137" s="101"/>
      <c r="C137" s="101"/>
      <c r="D137" s="101"/>
      <c r="E137" s="101"/>
      <c r="F137" s="101"/>
    </row>
    <row r="138" spans="2:6" x14ac:dyDescent="0.3">
      <c r="B138" s="101"/>
      <c r="C138" s="101"/>
      <c r="D138" s="101"/>
      <c r="E138" s="101"/>
      <c r="F138" s="101"/>
    </row>
    <row r="139" spans="2:6" x14ac:dyDescent="0.3">
      <c r="B139" s="101"/>
      <c r="C139" s="101"/>
      <c r="D139" s="101"/>
      <c r="E139" s="101"/>
      <c r="F139" s="101"/>
    </row>
    <row r="140" spans="2:6" x14ac:dyDescent="0.3">
      <c r="B140" s="101"/>
      <c r="C140" s="101"/>
      <c r="D140" s="101"/>
      <c r="E140" s="101"/>
      <c r="F140" s="101"/>
    </row>
    <row r="141" spans="2:6" x14ac:dyDescent="0.3">
      <c r="B141" s="101"/>
      <c r="C141" s="101"/>
      <c r="D141" s="101"/>
      <c r="E141" s="101"/>
      <c r="F141" s="101"/>
    </row>
    <row r="142" spans="2:6" x14ac:dyDescent="0.3">
      <c r="B142" s="101"/>
      <c r="C142" s="101"/>
      <c r="D142" s="101"/>
      <c r="E142" s="101"/>
      <c r="F142" s="101"/>
    </row>
    <row r="143" spans="2:6" x14ac:dyDescent="0.3">
      <c r="B143" s="101"/>
      <c r="C143" s="101"/>
      <c r="D143" s="101"/>
      <c r="E143" s="101"/>
      <c r="F143" s="101"/>
    </row>
    <row r="144" spans="2:6" x14ac:dyDescent="0.3">
      <c r="B144" s="101"/>
      <c r="C144" s="101"/>
      <c r="D144" s="101"/>
      <c r="E144" s="101"/>
      <c r="F144" s="101"/>
    </row>
    <row r="145" spans="2:6" x14ac:dyDescent="0.3">
      <c r="B145" s="101"/>
      <c r="C145" s="101"/>
      <c r="D145" s="101"/>
      <c r="E145" s="101"/>
      <c r="F145" s="101"/>
    </row>
    <row r="146" spans="2:6" x14ac:dyDescent="0.3">
      <c r="B146" s="101"/>
      <c r="C146" s="101"/>
      <c r="D146" s="101"/>
      <c r="E146" s="101"/>
      <c r="F146" s="101"/>
    </row>
    <row r="147" spans="2:6" x14ac:dyDescent="0.3">
      <c r="B147" s="101"/>
      <c r="C147" s="101"/>
      <c r="D147" s="101"/>
      <c r="E147" s="101"/>
      <c r="F147" s="101"/>
    </row>
    <row r="148" spans="2:6" x14ac:dyDescent="0.3">
      <c r="B148" s="101"/>
      <c r="C148" s="101"/>
      <c r="D148" s="101"/>
      <c r="E148" s="101"/>
      <c r="F148" s="101"/>
    </row>
    <row r="149" spans="2:6" x14ac:dyDescent="0.3">
      <c r="B149" s="101"/>
      <c r="C149" s="101"/>
      <c r="D149" s="101"/>
      <c r="E149" s="101"/>
      <c r="F149" s="101"/>
    </row>
    <row r="150" spans="2:6" x14ac:dyDescent="0.3">
      <c r="B150" s="101"/>
      <c r="C150" s="101"/>
      <c r="D150" s="101"/>
      <c r="E150" s="101"/>
      <c r="F150" s="101"/>
    </row>
    <row r="151" spans="2:6" x14ac:dyDescent="0.3">
      <c r="B151" s="101"/>
      <c r="C151" s="101"/>
      <c r="D151" s="101"/>
      <c r="E151" s="101"/>
      <c r="F151" s="101"/>
    </row>
    <row r="152" spans="2:6" x14ac:dyDescent="0.3">
      <c r="B152" s="101"/>
      <c r="C152" s="101"/>
      <c r="D152" s="101"/>
      <c r="E152" s="101"/>
      <c r="F152" s="101"/>
    </row>
    <row r="153" spans="2:6" x14ac:dyDescent="0.3">
      <c r="B153" s="101"/>
      <c r="C153" s="101"/>
      <c r="D153" s="101"/>
      <c r="E153" s="101"/>
      <c r="F153" s="101"/>
    </row>
    <row r="154" spans="2:6" x14ac:dyDescent="0.3">
      <c r="B154" s="101"/>
      <c r="C154" s="101"/>
      <c r="D154" s="101"/>
      <c r="E154" s="101"/>
      <c r="F154" s="101"/>
    </row>
    <row r="155" spans="2:6" x14ac:dyDescent="0.3">
      <c r="B155" s="101"/>
      <c r="C155" s="101"/>
      <c r="D155" s="101"/>
      <c r="E155" s="101"/>
      <c r="F155" s="101"/>
    </row>
    <row r="156" spans="2:6" x14ac:dyDescent="0.3">
      <c r="B156" s="101"/>
      <c r="C156" s="101"/>
      <c r="D156" s="101"/>
      <c r="E156" s="101"/>
      <c r="F156" s="101"/>
    </row>
    <row r="157" spans="2:6" x14ac:dyDescent="0.3">
      <c r="B157" s="101"/>
      <c r="C157" s="101"/>
      <c r="D157" s="101"/>
      <c r="E157" s="101"/>
      <c r="F157" s="101"/>
    </row>
    <row r="158" spans="2:6" x14ac:dyDescent="0.3">
      <c r="B158" s="101"/>
      <c r="C158" s="101"/>
      <c r="D158" s="101"/>
      <c r="E158" s="101"/>
      <c r="F158" s="101"/>
    </row>
    <row r="159" spans="2:6" x14ac:dyDescent="0.3">
      <c r="B159" s="101"/>
      <c r="C159" s="101"/>
      <c r="D159" s="101"/>
      <c r="E159" s="101"/>
      <c r="F159" s="101"/>
    </row>
  </sheetData>
  <pageMargins left="0.75" right="0.75" top="1" bottom="1" header="0.5" footer="0.5"/>
  <pageSetup scale="59" orientation="landscape" horizontalDpi="4294967292"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H124"/>
  <sheetViews>
    <sheetView workbookViewId="0">
      <selection activeCell="K34" sqref="K34"/>
    </sheetView>
  </sheetViews>
  <sheetFormatPr defaultColWidth="8" defaultRowHeight="12.75" x14ac:dyDescent="0.2"/>
  <cols>
    <col min="1" max="1" width="3.875" style="18" customWidth="1"/>
    <col min="2" max="4" width="8" style="18" customWidth="1"/>
    <col min="5" max="5" width="5.875" style="136" bestFit="1" customWidth="1"/>
    <col min="6" max="6" width="10.25" style="18" bestFit="1" customWidth="1"/>
    <col min="7" max="7" width="17.25" style="18" bestFit="1" customWidth="1"/>
    <col min="8" max="16384" width="8" style="18"/>
  </cols>
  <sheetData>
    <row r="2" spans="2:8" ht="15" x14ac:dyDescent="0.25">
      <c r="B2" s="36" t="s">
        <v>199</v>
      </c>
    </row>
    <row r="3" spans="2:8" ht="15" x14ac:dyDescent="0.25">
      <c r="B3" s="36" t="s">
        <v>108</v>
      </c>
    </row>
    <row r="5" spans="2:8" x14ac:dyDescent="0.2">
      <c r="B5" s="138" t="str">
        <f>"Annual Returns on S&amp;P 500 from " &amp; MIN(C12:C108) &amp; " to " &amp; MAX(C12:C108) &amp; "."</f>
        <v>Annual Returns on S&amp;P 500 from 1928 to 2024.</v>
      </c>
    </row>
    <row r="7" spans="2:8" x14ac:dyDescent="0.2">
      <c r="B7" s="18" t="s">
        <v>185</v>
      </c>
    </row>
    <row r="8" spans="2:8" x14ac:dyDescent="0.2">
      <c r="B8" s="138" t="str">
        <f>"    the minimum return is " &amp; MIN(D12:D108) &amp; " and the maximum return is " &amp; MAX(D12:D108) &amp; ". "</f>
        <v xml:space="preserve">    the minimum return is -47.07 and the maximum return is 46.59. </v>
      </c>
    </row>
    <row r="9" spans="2:8" x14ac:dyDescent="0.2">
      <c r="B9" s="18" t="s">
        <v>186</v>
      </c>
    </row>
    <row r="11" spans="2:8" ht="15" x14ac:dyDescent="0.25">
      <c r="C11" s="139" t="s">
        <v>88</v>
      </c>
      <c r="D11" s="139" t="s">
        <v>86</v>
      </c>
      <c r="E11" s="18"/>
      <c r="F11" s="144" t="s">
        <v>200</v>
      </c>
      <c r="G11" s="144" t="s">
        <v>201</v>
      </c>
    </row>
    <row r="12" spans="2:8" ht="14.25" x14ac:dyDescent="0.2">
      <c r="C12" s="137">
        <v>1928</v>
      </c>
      <c r="D12">
        <v>37.880000000000003</v>
      </c>
      <c r="E12" s="18"/>
      <c r="H12" s="138"/>
    </row>
    <row r="13" spans="2:8" ht="14.25" x14ac:dyDescent="0.2">
      <c r="C13" s="137">
        <v>1929</v>
      </c>
      <c r="D13">
        <v>-11.91</v>
      </c>
      <c r="E13" s="18"/>
    </row>
    <row r="14" spans="2:8" ht="14.25" x14ac:dyDescent="0.2">
      <c r="C14" s="137">
        <v>1930</v>
      </c>
      <c r="D14">
        <v>-28.48</v>
      </c>
      <c r="E14" s="18"/>
    </row>
    <row r="15" spans="2:8" ht="14.25" x14ac:dyDescent="0.2">
      <c r="C15" s="137">
        <v>1931</v>
      </c>
      <c r="D15">
        <v>-47.07</v>
      </c>
      <c r="E15" s="18"/>
    </row>
    <row r="16" spans="2:8" ht="14.25" x14ac:dyDescent="0.2">
      <c r="C16" s="137">
        <v>1932</v>
      </c>
      <c r="D16">
        <v>-15.15</v>
      </c>
      <c r="E16" s="18"/>
    </row>
    <row r="17" spans="3:5" ht="14.25" x14ac:dyDescent="0.2">
      <c r="C17" s="137">
        <v>1933</v>
      </c>
      <c r="D17">
        <v>46.59</v>
      </c>
      <c r="E17" s="18"/>
    </row>
    <row r="18" spans="3:5" ht="14.25" x14ac:dyDescent="0.2">
      <c r="C18" s="137">
        <v>1934</v>
      </c>
      <c r="D18">
        <v>-5.94</v>
      </c>
      <c r="E18" s="18"/>
    </row>
    <row r="19" spans="3:5" ht="14.25" x14ac:dyDescent="0.2">
      <c r="C19" s="137">
        <v>1935</v>
      </c>
      <c r="D19">
        <v>41.37</v>
      </c>
      <c r="E19" s="18"/>
    </row>
    <row r="20" spans="3:5" ht="14.25" x14ac:dyDescent="0.2">
      <c r="C20" s="137">
        <v>1936</v>
      </c>
      <c r="D20">
        <v>27.92</v>
      </c>
      <c r="E20" s="18"/>
    </row>
    <row r="21" spans="3:5" ht="14.25" x14ac:dyDescent="0.2">
      <c r="C21" s="137">
        <v>1937</v>
      </c>
      <c r="D21">
        <v>-38.590000000000003</v>
      </c>
      <c r="E21" s="18"/>
    </row>
    <row r="22" spans="3:5" ht="14.25" x14ac:dyDescent="0.2">
      <c r="C22" s="137">
        <v>1938</v>
      </c>
      <c r="D22">
        <v>25.21</v>
      </c>
      <c r="E22" s="18"/>
    </row>
    <row r="23" spans="3:5" ht="14.25" x14ac:dyDescent="0.2">
      <c r="C23" s="137">
        <v>1939</v>
      </c>
      <c r="D23">
        <v>-5.45</v>
      </c>
      <c r="E23" s="18"/>
    </row>
    <row r="24" spans="3:5" ht="14.25" x14ac:dyDescent="0.2">
      <c r="C24" s="137">
        <v>1940</v>
      </c>
      <c r="D24">
        <v>-15.29</v>
      </c>
      <c r="E24" s="18"/>
    </row>
    <row r="25" spans="3:5" ht="14.25" x14ac:dyDescent="0.2">
      <c r="C25" s="137">
        <v>1941</v>
      </c>
      <c r="D25">
        <v>-17.86</v>
      </c>
      <c r="E25" s="18"/>
    </row>
    <row r="26" spans="3:5" ht="14.25" x14ac:dyDescent="0.2">
      <c r="C26" s="137">
        <v>1942</v>
      </c>
      <c r="D26">
        <v>12.43</v>
      </c>
      <c r="E26" s="18"/>
    </row>
    <row r="27" spans="3:5" ht="14.25" x14ac:dyDescent="0.2">
      <c r="C27" s="137">
        <v>1943</v>
      </c>
      <c r="D27">
        <v>19.45</v>
      </c>
      <c r="E27" s="18"/>
    </row>
    <row r="28" spans="3:5" ht="14.25" x14ac:dyDescent="0.2">
      <c r="C28" s="137">
        <v>1944</v>
      </c>
      <c r="D28">
        <v>13.8</v>
      </c>
      <c r="E28" s="18"/>
    </row>
    <row r="29" spans="3:5" ht="14.25" x14ac:dyDescent="0.2">
      <c r="C29" s="137">
        <v>1945</v>
      </c>
      <c r="D29">
        <v>30.72</v>
      </c>
      <c r="E29" s="18"/>
    </row>
    <row r="30" spans="3:5" ht="14.25" x14ac:dyDescent="0.2">
      <c r="C30" s="137">
        <v>1946</v>
      </c>
      <c r="D30">
        <v>-11.87</v>
      </c>
      <c r="E30" s="18"/>
    </row>
    <row r="31" spans="3:5" ht="14.25" x14ac:dyDescent="0.2">
      <c r="C31" s="137">
        <v>1947</v>
      </c>
      <c r="D31">
        <v>0</v>
      </c>
      <c r="E31" s="18"/>
    </row>
    <row r="32" spans="3:5" ht="14.25" x14ac:dyDescent="0.2">
      <c r="C32" s="137">
        <v>1948</v>
      </c>
      <c r="D32">
        <v>-0.65</v>
      </c>
      <c r="E32" s="18"/>
    </row>
    <row r="33" spans="3:5" ht="14.25" x14ac:dyDescent="0.2">
      <c r="C33" s="137">
        <v>1949</v>
      </c>
      <c r="D33">
        <v>10.26</v>
      </c>
      <c r="E33" s="18"/>
    </row>
    <row r="34" spans="3:5" ht="14.25" x14ac:dyDescent="0.2">
      <c r="C34" s="137">
        <v>1950</v>
      </c>
      <c r="D34">
        <v>21.78</v>
      </c>
      <c r="E34" s="18"/>
    </row>
    <row r="35" spans="3:5" ht="14.25" x14ac:dyDescent="0.2">
      <c r="C35" s="137">
        <v>1951</v>
      </c>
      <c r="D35">
        <v>16.46</v>
      </c>
      <c r="E35" s="18"/>
    </row>
    <row r="36" spans="3:5" ht="14.25" x14ac:dyDescent="0.2">
      <c r="C36" s="137">
        <v>1952</v>
      </c>
      <c r="D36">
        <v>11.78</v>
      </c>
      <c r="E36" s="18"/>
    </row>
    <row r="37" spans="3:5" ht="14.25" x14ac:dyDescent="0.2">
      <c r="C37" s="137">
        <v>1953</v>
      </c>
      <c r="D37">
        <v>-6.62</v>
      </c>
      <c r="E37" s="18"/>
    </row>
    <row r="38" spans="3:5" ht="14.25" x14ac:dyDescent="0.2">
      <c r="C38" s="137">
        <v>1954</v>
      </c>
      <c r="D38">
        <v>45.02</v>
      </c>
      <c r="E38" s="18"/>
    </row>
    <row r="39" spans="3:5" ht="14.25" x14ac:dyDescent="0.2">
      <c r="C39" s="137">
        <v>1955</v>
      </c>
      <c r="D39">
        <v>26.4</v>
      </c>
      <c r="E39" s="18"/>
    </row>
    <row r="40" spans="3:5" ht="14.25" x14ac:dyDescent="0.2">
      <c r="C40" s="137">
        <v>1956</v>
      </c>
      <c r="D40">
        <v>2.62</v>
      </c>
      <c r="E40" s="18"/>
    </row>
    <row r="41" spans="3:5" ht="14.25" x14ac:dyDescent="0.2">
      <c r="C41" s="137">
        <v>1957</v>
      </c>
      <c r="D41">
        <v>-14.31</v>
      </c>
      <c r="E41" s="18"/>
    </row>
    <row r="42" spans="3:5" ht="14.25" x14ac:dyDescent="0.2">
      <c r="C42" s="137">
        <v>1958</v>
      </c>
      <c r="D42">
        <v>38.06</v>
      </c>
      <c r="E42" s="18"/>
    </row>
    <row r="43" spans="3:5" ht="14.25" x14ac:dyDescent="0.2">
      <c r="C43" s="137">
        <v>1959</v>
      </c>
      <c r="D43">
        <v>8.48</v>
      </c>
      <c r="E43" s="18"/>
    </row>
    <row r="44" spans="3:5" ht="14.25" x14ac:dyDescent="0.2">
      <c r="C44" s="137">
        <v>1960</v>
      </c>
      <c r="D44">
        <v>-2.97</v>
      </c>
      <c r="E44" s="18"/>
    </row>
    <row r="45" spans="3:5" ht="14.25" x14ac:dyDescent="0.2">
      <c r="C45" s="137">
        <v>1961</v>
      </c>
      <c r="D45">
        <v>23.13</v>
      </c>
      <c r="E45" s="18"/>
    </row>
    <row r="46" spans="3:5" ht="14.25" x14ac:dyDescent="0.2">
      <c r="C46" s="137">
        <v>1962</v>
      </c>
      <c r="D46">
        <v>-11.81</v>
      </c>
      <c r="E46" s="18"/>
    </row>
    <row r="47" spans="3:5" ht="14.25" x14ac:dyDescent="0.2">
      <c r="C47" s="137">
        <v>1963</v>
      </c>
      <c r="D47">
        <v>18.89</v>
      </c>
      <c r="E47" s="18"/>
    </row>
    <row r="48" spans="3:5" ht="14.25" x14ac:dyDescent="0.2">
      <c r="C48" s="137">
        <v>1964</v>
      </c>
      <c r="D48">
        <v>12.97</v>
      </c>
      <c r="E48" s="18"/>
    </row>
    <row r="49" spans="3:5" ht="14.25" x14ac:dyDescent="0.2">
      <c r="C49" s="137">
        <v>1965</v>
      </c>
      <c r="D49">
        <v>9.06</v>
      </c>
      <c r="E49" s="18"/>
    </row>
    <row r="50" spans="3:5" ht="14.25" x14ac:dyDescent="0.2">
      <c r="C50" s="137">
        <v>1966</v>
      </c>
      <c r="D50">
        <v>-13.09</v>
      </c>
      <c r="E50" s="18"/>
    </row>
    <row r="51" spans="3:5" ht="14.25" x14ac:dyDescent="0.2">
      <c r="C51" s="137">
        <v>1967</v>
      </c>
      <c r="D51">
        <v>20.09</v>
      </c>
      <c r="E51" s="18"/>
    </row>
    <row r="52" spans="3:5" ht="14.25" x14ac:dyDescent="0.2">
      <c r="C52" s="137">
        <v>1968</v>
      </c>
      <c r="D52">
        <v>7.66</v>
      </c>
      <c r="E52" s="18"/>
    </row>
    <row r="53" spans="3:5" ht="14.25" x14ac:dyDescent="0.2">
      <c r="C53" s="137">
        <v>1969</v>
      </c>
      <c r="D53">
        <v>-11.36</v>
      </c>
      <c r="E53" s="18"/>
    </row>
    <row r="54" spans="3:5" ht="14.25" x14ac:dyDescent="0.2">
      <c r="C54" s="137">
        <v>1970</v>
      </c>
      <c r="D54">
        <v>0.1</v>
      </c>
      <c r="E54" s="18"/>
    </row>
    <row r="55" spans="3:5" ht="14.25" x14ac:dyDescent="0.2">
      <c r="C55" s="137">
        <v>1971</v>
      </c>
      <c r="D55">
        <v>10.79</v>
      </c>
      <c r="E55" s="18"/>
    </row>
    <row r="56" spans="3:5" ht="14.25" x14ac:dyDescent="0.2">
      <c r="C56" s="137">
        <v>1972</v>
      </c>
      <c r="D56">
        <v>15.63</v>
      </c>
      <c r="E56" s="18"/>
    </row>
    <row r="57" spans="3:5" ht="14.25" x14ac:dyDescent="0.2">
      <c r="C57" s="137">
        <v>1973</v>
      </c>
      <c r="D57">
        <v>-17.37</v>
      </c>
      <c r="E57" s="18"/>
    </row>
    <row r="58" spans="3:5" ht="14.25" x14ac:dyDescent="0.2">
      <c r="C58" s="137">
        <v>1974</v>
      </c>
      <c r="D58">
        <v>-29.72</v>
      </c>
      <c r="E58" s="18"/>
    </row>
    <row r="59" spans="3:5" ht="14.25" x14ac:dyDescent="0.2">
      <c r="C59" s="137">
        <v>1975</v>
      </c>
      <c r="D59">
        <v>31.55</v>
      </c>
      <c r="E59" s="18"/>
    </row>
    <row r="60" spans="3:5" ht="14.25" x14ac:dyDescent="0.2">
      <c r="C60" s="137">
        <v>1976</v>
      </c>
      <c r="D60">
        <v>19.149999999999999</v>
      </c>
      <c r="E60" s="18"/>
    </row>
    <row r="61" spans="3:5" ht="14.25" x14ac:dyDescent="0.2">
      <c r="C61" s="137">
        <v>1977</v>
      </c>
      <c r="D61">
        <v>-11.5</v>
      </c>
      <c r="E61" s="18"/>
    </row>
    <row r="62" spans="3:5" ht="14.25" x14ac:dyDescent="0.2">
      <c r="C62" s="137">
        <v>1978</v>
      </c>
      <c r="D62">
        <v>1.06</v>
      </c>
      <c r="E62" s="18"/>
    </row>
    <row r="63" spans="3:5" ht="14.25" x14ac:dyDescent="0.2">
      <c r="C63" s="137">
        <v>1979</v>
      </c>
      <c r="D63">
        <v>12.31</v>
      </c>
      <c r="E63" s="18"/>
    </row>
    <row r="64" spans="3:5" ht="14.25" x14ac:dyDescent="0.2">
      <c r="C64" s="137">
        <v>1980</v>
      </c>
      <c r="D64">
        <v>25.77</v>
      </c>
      <c r="E64" s="18"/>
    </row>
    <row r="65" spans="3:5" ht="14.25" x14ac:dyDescent="0.2">
      <c r="C65" s="137">
        <v>1981</v>
      </c>
      <c r="D65">
        <v>-9.73</v>
      </c>
      <c r="E65" s="18"/>
    </row>
    <row r="66" spans="3:5" ht="14.25" x14ac:dyDescent="0.2">
      <c r="C66" s="137">
        <v>1982</v>
      </c>
      <c r="D66">
        <v>14.76</v>
      </c>
      <c r="E66" s="18"/>
    </row>
    <row r="67" spans="3:5" ht="14.25" x14ac:dyDescent="0.2">
      <c r="C67" s="137">
        <v>1983</v>
      </c>
      <c r="D67">
        <v>17.27</v>
      </c>
      <c r="E67" s="18"/>
    </row>
    <row r="68" spans="3:5" ht="14.25" x14ac:dyDescent="0.2">
      <c r="C68" s="137">
        <v>1984</v>
      </c>
      <c r="D68">
        <v>1.4</v>
      </c>
      <c r="E68" s="18"/>
    </row>
    <row r="69" spans="3:5" ht="14.25" x14ac:dyDescent="0.2">
      <c r="C69" s="137">
        <v>1985</v>
      </c>
      <c r="D69">
        <v>26.33</v>
      </c>
      <c r="E69" s="18"/>
    </row>
    <row r="70" spans="3:5" ht="14.25" x14ac:dyDescent="0.2">
      <c r="C70" s="137">
        <v>1986</v>
      </c>
      <c r="D70">
        <v>14.62</v>
      </c>
      <c r="E70" s="18"/>
    </row>
    <row r="71" spans="3:5" ht="14.25" x14ac:dyDescent="0.2">
      <c r="C71" s="137">
        <v>1987</v>
      </c>
      <c r="D71">
        <v>2.0299999999999998</v>
      </c>
      <c r="E71" s="18"/>
    </row>
    <row r="72" spans="3:5" ht="14.25" x14ac:dyDescent="0.2">
      <c r="C72" s="137">
        <v>1988</v>
      </c>
      <c r="D72">
        <v>12.4</v>
      </c>
      <c r="E72" s="18"/>
    </row>
    <row r="73" spans="3:5" ht="14.25" x14ac:dyDescent="0.2">
      <c r="C73" s="137">
        <v>1989</v>
      </c>
      <c r="D73">
        <v>27.25</v>
      </c>
      <c r="E73" s="18"/>
    </row>
    <row r="74" spans="3:5" ht="14.25" x14ac:dyDescent="0.2">
      <c r="C74" s="137">
        <v>1990</v>
      </c>
      <c r="D74">
        <v>-6.56</v>
      </c>
      <c r="E74" s="18"/>
    </row>
    <row r="75" spans="3:5" ht="14.25" x14ac:dyDescent="0.2">
      <c r="C75" s="137">
        <v>1991</v>
      </c>
      <c r="D75">
        <v>26.31</v>
      </c>
      <c r="E75" s="18"/>
    </row>
    <row r="76" spans="3:5" ht="14.25" x14ac:dyDescent="0.2">
      <c r="C76" s="137">
        <v>1992</v>
      </c>
      <c r="D76">
        <v>4.46</v>
      </c>
      <c r="E76" s="18"/>
    </row>
    <row r="77" spans="3:5" ht="14.25" x14ac:dyDescent="0.2">
      <c r="C77" s="137">
        <v>1993</v>
      </c>
      <c r="D77">
        <v>7.06</v>
      </c>
      <c r="E77" s="18"/>
    </row>
    <row r="78" spans="3:5" ht="14.25" x14ac:dyDescent="0.2">
      <c r="C78" s="137">
        <v>1994</v>
      </c>
      <c r="D78">
        <v>-1.54</v>
      </c>
      <c r="E78" s="18"/>
    </row>
    <row r="79" spans="3:5" ht="14.25" x14ac:dyDescent="0.2">
      <c r="C79" s="137">
        <v>1995</v>
      </c>
      <c r="D79">
        <v>34.11</v>
      </c>
      <c r="E79" s="18"/>
    </row>
    <row r="80" spans="3:5" ht="14.25" x14ac:dyDescent="0.2">
      <c r="C80" s="137">
        <v>1996</v>
      </c>
      <c r="D80">
        <v>20.260000000000002</v>
      </c>
      <c r="E80" s="18"/>
    </row>
    <row r="81" spans="3:5" ht="14.25" x14ac:dyDescent="0.2">
      <c r="C81" s="137">
        <v>1997</v>
      </c>
      <c r="D81">
        <v>31.01</v>
      </c>
      <c r="E81" s="18"/>
    </row>
    <row r="82" spans="3:5" ht="14.25" x14ac:dyDescent="0.2">
      <c r="C82" s="137">
        <v>1998</v>
      </c>
      <c r="D82">
        <v>26.67</v>
      </c>
      <c r="E82" s="18"/>
    </row>
    <row r="83" spans="3:5" ht="14.25" x14ac:dyDescent="0.2">
      <c r="C83" s="137">
        <v>1999</v>
      </c>
      <c r="D83">
        <v>19.53</v>
      </c>
      <c r="E83" s="18"/>
    </row>
    <row r="84" spans="3:5" ht="14.25" x14ac:dyDescent="0.2">
      <c r="C84" s="137">
        <v>2000</v>
      </c>
      <c r="D84">
        <v>-10.14</v>
      </c>
      <c r="E84" s="18"/>
    </row>
    <row r="85" spans="3:5" ht="14.25" x14ac:dyDescent="0.2">
      <c r="C85" s="137">
        <v>2001</v>
      </c>
      <c r="D85">
        <v>-13.04</v>
      </c>
      <c r="E85" s="18"/>
    </row>
    <row r="86" spans="3:5" ht="14.25" x14ac:dyDescent="0.2">
      <c r="C86" s="137">
        <v>2002</v>
      </c>
      <c r="D86">
        <v>-23.37</v>
      </c>
      <c r="E86" s="18"/>
    </row>
    <row r="87" spans="3:5" ht="14.25" x14ac:dyDescent="0.2">
      <c r="C87" s="137">
        <v>2003</v>
      </c>
      <c r="D87">
        <v>26.38</v>
      </c>
      <c r="E87" s="18"/>
    </row>
    <row r="88" spans="3:5" ht="14.25" x14ac:dyDescent="0.2">
      <c r="C88" s="137">
        <v>2004</v>
      </c>
      <c r="D88">
        <v>8.99</v>
      </c>
      <c r="E88" s="18"/>
    </row>
    <row r="89" spans="3:5" ht="14.25" x14ac:dyDescent="0.2">
      <c r="C89" s="137">
        <v>2005</v>
      </c>
      <c r="D89">
        <v>3</v>
      </c>
      <c r="E89" s="18"/>
    </row>
    <row r="90" spans="3:5" ht="14.25" x14ac:dyDescent="0.2">
      <c r="C90" s="137">
        <v>2006</v>
      </c>
      <c r="D90">
        <v>13.62</v>
      </c>
      <c r="E90" s="18"/>
    </row>
    <row r="91" spans="3:5" ht="14.25" x14ac:dyDescent="0.2">
      <c r="C91" s="137">
        <v>2007</v>
      </c>
      <c r="D91">
        <v>3.53</v>
      </c>
      <c r="E91" s="18"/>
    </row>
    <row r="92" spans="3:5" ht="14.25" x14ac:dyDescent="0.2">
      <c r="C92" s="137">
        <v>2008</v>
      </c>
      <c r="D92">
        <v>-38.49</v>
      </c>
      <c r="E92" s="18"/>
    </row>
    <row r="93" spans="3:5" ht="14.25" x14ac:dyDescent="0.2">
      <c r="C93" s="137">
        <v>2009</v>
      </c>
      <c r="D93">
        <v>23.45</v>
      </c>
      <c r="E93" s="18"/>
    </row>
    <row r="94" spans="3:5" ht="14.25" x14ac:dyDescent="0.2">
      <c r="C94" s="137">
        <v>2010</v>
      </c>
      <c r="D94">
        <v>12.78</v>
      </c>
      <c r="E94" s="18"/>
    </row>
    <row r="95" spans="3:5" ht="14.25" x14ac:dyDescent="0.2">
      <c r="C95" s="137">
        <v>2011</v>
      </c>
      <c r="D95">
        <v>0</v>
      </c>
      <c r="E95" s="18"/>
    </row>
    <row r="96" spans="3:5" ht="14.25" x14ac:dyDescent="0.2">
      <c r="C96" s="137">
        <v>2012</v>
      </c>
      <c r="D96">
        <v>13.41</v>
      </c>
      <c r="E96" s="18"/>
    </row>
    <row r="97" spans="3:5" ht="14.25" x14ac:dyDescent="0.2">
      <c r="C97" s="137">
        <v>2013</v>
      </c>
      <c r="D97">
        <v>29.6</v>
      </c>
      <c r="E97" s="18"/>
    </row>
    <row r="98" spans="3:5" ht="14.25" x14ac:dyDescent="0.2">
      <c r="C98" s="137">
        <v>2014</v>
      </c>
      <c r="D98">
        <v>11.39</v>
      </c>
      <c r="E98" s="18"/>
    </row>
    <row r="99" spans="3:5" ht="14.25" x14ac:dyDescent="0.2">
      <c r="C99" s="137">
        <v>2015</v>
      </c>
      <c r="D99">
        <v>-0.73</v>
      </c>
      <c r="E99" s="18"/>
    </row>
    <row r="100" spans="3:5" ht="14.25" x14ac:dyDescent="0.2">
      <c r="C100" s="137">
        <v>2016</v>
      </c>
      <c r="D100">
        <v>9.5399999999999991</v>
      </c>
      <c r="E100" s="18"/>
    </row>
    <row r="101" spans="3:5" ht="14.25" x14ac:dyDescent="0.2">
      <c r="C101" s="137">
        <v>2017</v>
      </c>
      <c r="D101">
        <v>19.420000000000002</v>
      </c>
      <c r="E101" s="18"/>
    </row>
    <row r="102" spans="3:5" ht="14.25" x14ac:dyDescent="0.2">
      <c r="C102" s="137">
        <v>2018</v>
      </c>
      <c r="D102">
        <v>-6.24</v>
      </c>
      <c r="E102" s="18"/>
    </row>
    <row r="103" spans="3:5" ht="14.25" x14ac:dyDescent="0.2">
      <c r="C103" s="137">
        <v>2019</v>
      </c>
      <c r="D103">
        <v>28.88</v>
      </c>
      <c r="E103" s="18"/>
    </row>
    <row r="104" spans="3:5" ht="14.25" x14ac:dyDescent="0.2">
      <c r="C104" s="137">
        <v>2020</v>
      </c>
      <c r="D104">
        <v>16.260000000000002</v>
      </c>
      <c r="E104" s="18"/>
    </row>
    <row r="105" spans="3:5" ht="14.25" x14ac:dyDescent="0.2">
      <c r="C105" s="137">
        <v>2021</v>
      </c>
      <c r="D105">
        <v>26.89</v>
      </c>
      <c r="E105" s="18"/>
    </row>
    <row r="106" spans="3:5" ht="14.25" x14ac:dyDescent="0.2">
      <c r="C106" s="137">
        <v>2022</v>
      </c>
      <c r="D106">
        <v>-19.440000000000001</v>
      </c>
      <c r="E106" s="18"/>
    </row>
    <row r="107" spans="3:5" ht="14.25" x14ac:dyDescent="0.2">
      <c r="C107" s="137">
        <v>2023</v>
      </c>
      <c r="D107">
        <v>24.23</v>
      </c>
      <c r="E107" s="18"/>
    </row>
    <row r="108" spans="3:5" ht="14.25" x14ac:dyDescent="0.2">
      <c r="C108" s="137">
        <v>2024</v>
      </c>
      <c r="D108">
        <v>23.31</v>
      </c>
      <c r="E108" s="18"/>
    </row>
    <row r="109" spans="3:5" ht="14.25" x14ac:dyDescent="0.2">
      <c r="C109" s="137"/>
      <c r="D109"/>
      <c r="E109" s="18"/>
    </row>
    <row r="110" spans="3:5" x14ac:dyDescent="0.2">
      <c r="C110" s="136"/>
      <c r="E110" s="18"/>
    </row>
    <row r="111" spans="3:5" x14ac:dyDescent="0.2">
      <c r="C111" s="136"/>
      <c r="E111" s="18"/>
    </row>
    <row r="112" spans="3:5" x14ac:dyDescent="0.2">
      <c r="C112" s="136"/>
      <c r="E112" s="18"/>
    </row>
    <row r="113" spans="3:5" x14ac:dyDescent="0.2">
      <c r="C113" s="136"/>
      <c r="E113" s="18"/>
    </row>
    <row r="114" spans="3:5" x14ac:dyDescent="0.2">
      <c r="C114" s="136"/>
      <c r="E114" s="18"/>
    </row>
    <row r="115" spans="3:5" x14ac:dyDescent="0.2">
      <c r="C115" s="136"/>
      <c r="E115" s="18"/>
    </row>
    <row r="116" spans="3:5" x14ac:dyDescent="0.2">
      <c r="C116" s="136"/>
      <c r="E116" s="18"/>
    </row>
    <row r="117" spans="3:5" x14ac:dyDescent="0.2">
      <c r="C117" s="136"/>
      <c r="E117" s="18"/>
    </row>
    <row r="118" spans="3:5" x14ac:dyDescent="0.2">
      <c r="C118" s="136"/>
      <c r="E118" s="18"/>
    </row>
    <row r="119" spans="3:5" x14ac:dyDescent="0.2">
      <c r="C119" s="136"/>
      <c r="E119" s="18"/>
    </row>
    <row r="120" spans="3:5" x14ac:dyDescent="0.2">
      <c r="C120" s="136"/>
      <c r="E120" s="18"/>
    </row>
    <row r="121" spans="3:5" x14ac:dyDescent="0.2">
      <c r="C121" s="136"/>
      <c r="E121" s="18"/>
    </row>
    <row r="122" spans="3:5" x14ac:dyDescent="0.2">
      <c r="C122" s="136"/>
      <c r="E122" s="18"/>
    </row>
    <row r="123" spans="3:5" x14ac:dyDescent="0.2">
      <c r="C123" s="136"/>
      <c r="E123" s="18"/>
    </row>
    <row r="124" spans="3:5" x14ac:dyDescent="0.2">
      <c r="C124" s="136"/>
      <c r="E124" s="18"/>
    </row>
  </sheetData>
  <phoneticPr fontId="9" type="noConversion"/>
  <printOptions horizontalCentered="1"/>
  <pageMargins left="0.75" right="0.75" top="1.57"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J18"/>
  <sheetViews>
    <sheetView workbookViewId="0">
      <selection activeCell="N42" sqref="N42"/>
    </sheetView>
  </sheetViews>
  <sheetFormatPr defaultRowHeight="14.25" x14ac:dyDescent="0.2"/>
  <cols>
    <col min="1" max="1" width="3.875" customWidth="1"/>
    <col min="2" max="2" width="10.5" customWidth="1"/>
  </cols>
  <sheetData>
    <row r="2" spans="2:10" ht="15" x14ac:dyDescent="0.25">
      <c r="B2" s="36" t="s">
        <v>199</v>
      </c>
    </row>
    <row r="3" spans="2:10" ht="15" x14ac:dyDescent="0.25">
      <c r="B3" s="36" t="s">
        <v>192</v>
      </c>
    </row>
    <row r="5" spans="2:10" ht="15.75" thickBot="1" x14ac:dyDescent="0.3">
      <c r="H5" s="74" t="s">
        <v>161</v>
      </c>
      <c r="I5" s="73"/>
      <c r="J5" s="73"/>
    </row>
    <row r="6" spans="2:10" ht="15.75" thickBot="1" x14ac:dyDescent="0.3">
      <c r="B6" s="69"/>
      <c r="C6" s="70" t="s">
        <v>139</v>
      </c>
      <c r="D6" s="70" t="s">
        <v>140</v>
      </c>
      <c r="E6" s="70" t="s">
        <v>141</v>
      </c>
      <c r="F6" s="70" t="s">
        <v>142</v>
      </c>
      <c r="H6" s="75"/>
      <c r="I6" s="73"/>
      <c r="J6" s="74" t="s">
        <v>162</v>
      </c>
    </row>
    <row r="7" spans="2:10" ht="15" x14ac:dyDescent="0.25">
      <c r="B7" s="70" t="s">
        <v>143</v>
      </c>
      <c r="C7" s="69">
        <v>55</v>
      </c>
      <c r="D7" s="69">
        <v>68</v>
      </c>
      <c r="E7" s="69">
        <v>100</v>
      </c>
      <c r="F7" s="69">
        <v>68</v>
      </c>
      <c r="H7" s="73"/>
      <c r="I7" s="73"/>
      <c r="J7" s="76">
        <v>10</v>
      </c>
    </row>
    <row r="8" spans="2:10" ht="15" x14ac:dyDescent="0.25">
      <c r="B8" s="70" t="s">
        <v>144</v>
      </c>
      <c r="C8" s="69">
        <v>68</v>
      </c>
      <c r="D8" s="69">
        <v>72</v>
      </c>
      <c r="E8" s="69">
        <v>88</v>
      </c>
      <c r="F8" s="69">
        <v>33</v>
      </c>
      <c r="H8" s="73"/>
      <c r="I8" s="73"/>
      <c r="J8" s="76">
        <v>20</v>
      </c>
    </row>
    <row r="9" spans="2:10" ht="15" x14ac:dyDescent="0.25">
      <c r="B9" s="70" t="s">
        <v>145</v>
      </c>
      <c r="C9" s="69">
        <v>108</v>
      </c>
      <c r="D9" s="69">
        <v>91</v>
      </c>
      <c r="E9" s="69">
        <v>43</v>
      </c>
      <c r="F9" s="69">
        <v>96</v>
      </c>
      <c r="H9" s="73"/>
      <c r="I9" s="73"/>
      <c r="J9" s="76">
        <v>30</v>
      </c>
    </row>
    <row r="10" spans="2:10" ht="15" x14ac:dyDescent="0.25">
      <c r="B10" s="70" t="s">
        <v>146</v>
      </c>
      <c r="C10" s="69">
        <v>96</v>
      </c>
      <c r="D10" s="69">
        <v>88</v>
      </c>
      <c r="E10" s="69">
        <v>25</v>
      </c>
      <c r="F10" s="69">
        <v>401</v>
      </c>
      <c r="H10" s="73"/>
      <c r="I10" s="73"/>
      <c r="J10" s="76">
        <v>40</v>
      </c>
    </row>
    <row r="11" spans="2:10" ht="15" x14ac:dyDescent="0.25">
      <c r="B11" s="70" t="s">
        <v>147</v>
      </c>
      <c r="C11" s="69">
        <v>40</v>
      </c>
      <c r="D11" s="69">
        <v>580</v>
      </c>
      <c r="E11" s="69">
        <v>38</v>
      </c>
      <c r="F11" s="69">
        <v>68</v>
      </c>
      <c r="H11" s="73"/>
      <c r="I11" s="73"/>
      <c r="J11" s="76">
        <v>50</v>
      </c>
    </row>
    <row r="12" spans="2:10" ht="15" x14ac:dyDescent="0.25">
      <c r="B12" s="70" t="s">
        <v>148</v>
      </c>
      <c r="C12" s="69">
        <v>68</v>
      </c>
      <c r="D12" s="69">
        <v>33</v>
      </c>
      <c r="E12" s="69">
        <v>44</v>
      </c>
      <c r="F12" s="69">
        <v>12</v>
      </c>
      <c r="H12" s="73"/>
      <c r="I12" s="73"/>
      <c r="J12" s="76">
        <v>60</v>
      </c>
    </row>
    <row r="13" spans="2:10" ht="15" x14ac:dyDescent="0.25">
      <c r="B13" s="70" t="s">
        <v>149</v>
      </c>
      <c r="C13" s="69">
        <v>72</v>
      </c>
      <c r="D13" s="69">
        <v>96</v>
      </c>
      <c r="E13" s="69">
        <v>86</v>
      </c>
      <c r="F13" s="69">
        <v>800</v>
      </c>
      <c r="H13" s="73"/>
      <c r="I13" s="73"/>
      <c r="J13" s="76">
        <v>70</v>
      </c>
    </row>
    <row r="14" spans="2:10" ht="15" x14ac:dyDescent="0.25">
      <c r="B14" s="70" t="s">
        <v>150</v>
      </c>
      <c r="C14" s="69">
        <v>91</v>
      </c>
      <c r="D14" s="69">
        <v>400</v>
      </c>
      <c r="E14" s="69">
        <v>35</v>
      </c>
      <c r="F14" s="69">
        <v>68</v>
      </c>
      <c r="H14" s="73"/>
      <c r="I14" s="73"/>
      <c r="J14" s="76">
        <v>80</v>
      </c>
    </row>
    <row r="15" spans="2:10" ht="15" x14ac:dyDescent="0.25">
      <c r="B15" s="70" t="s">
        <v>151</v>
      </c>
      <c r="C15" s="69">
        <v>88</v>
      </c>
      <c r="D15" s="69">
        <v>68</v>
      </c>
      <c r="E15" s="69">
        <v>68</v>
      </c>
      <c r="F15" s="69">
        <v>33</v>
      </c>
      <c r="H15" s="73"/>
      <c r="I15" s="73"/>
      <c r="J15" s="76">
        <v>90</v>
      </c>
    </row>
    <row r="16" spans="2:10" ht="15" x14ac:dyDescent="0.25">
      <c r="B16" s="70" t="s">
        <v>152</v>
      </c>
      <c r="C16" s="69">
        <v>43</v>
      </c>
      <c r="D16" s="69">
        <v>91</v>
      </c>
      <c r="E16" s="69">
        <v>701</v>
      </c>
      <c r="F16" s="69">
        <v>96</v>
      </c>
      <c r="H16" s="73"/>
      <c r="I16" s="73"/>
      <c r="J16" s="76">
        <v>100</v>
      </c>
    </row>
    <row r="17" spans="2:6" ht="15" x14ac:dyDescent="0.25">
      <c r="B17" s="70" t="s">
        <v>153</v>
      </c>
      <c r="C17" s="69">
        <v>10</v>
      </c>
      <c r="D17" s="69">
        <v>88</v>
      </c>
      <c r="E17" s="69">
        <v>91</v>
      </c>
      <c r="F17" s="69">
        <v>90</v>
      </c>
    </row>
    <row r="18" spans="2:6" ht="15" x14ac:dyDescent="0.25">
      <c r="B18" s="70" t="s">
        <v>154</v>
      </c>
      <c r="C18" s="69">
        <v>0</v>
      </c>
      <c r="D18" s="69">
        <v>43</v>
      </c>
      <c r="E18" s="69">
        <v>88</v>
      </c>
      <c r="F18" s="69">
        <v>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L222"/>
  <sheetViews>
    <sheetView showGridLines="0" workbookViewId="0">
      <selection activeCell="J42" sqref="J42"/>
    </sheetView>
  </sheetViews>
  <sheetFormatPr defaultColWidth="8" defaultRowHeight="12.75" x14ac:dyDescent="0.2"/>
  <cols>
    <col min="1" max="1" width="3.875" style="18" customWidth="1"/>
    <col min="2" max="2" width="7" style="28" bestFit="1" customWidth="1"/>
    <col min="3" max="3" width="8.25" style="28" customWidth="1"/>
    <col min="4" max="4" width="9.75" style="28" bestFit="1" customWidth="1"/>
    <col min="5" max="5" width="9.5" style="28" bestFit="1" customWidth="1"/>
    <col min="6" max="6" width="9.625" style="28" bestFit="1" customWidth="1"/>
    <col min="7" max="7" width="10.25" style="28" bestFit="1" customWidth="1"/>
    <col min="8" max="9" width="10.375" style="28" customWidth="1"/>
    <col min="10" max="10" width="10.875" style="28" customWidth="1"/>
    <col min="11" max="12" width="11.875" style="28" customWidth="1"/>
    <col min="13" max="16384" width="8" style="28"/>
  </cols>
  <sheetData>
    <row r="2" spans="2:6" ht="15" x14ac:dyDescent="0.25">
      <c r="B2" s="36" t="s">
        <v>199</v>
      </c>
    </row>
    <row r="3" spans="2:6" ht="15" x14ac:dyDescent="0.25">
      <c r="B3" s="36" t="s">
        <v>193</v>
      </c>
    </row>
    <row r="5" spans="2:6" ht="15.75" x14ac:dyDescent="0.25">
      <c r="B5" s="61" t="s">
        <v>109</v>
      </c>
    </row>
    <row r="6" spans="2:6" ht="13.5" thickBot="1" x14ac:dyDescent="0.25">
      <c r="B6" s="62" t="s">
        <v>87</v>
      </c>
      <c r="C6" s="62" t="s">
        <v>88</v>
      </c>
      <c r="D6" s="62" t="s">
        <v>89</v>
      </c>
      <c r="E6" s="62" t="s">
        <v>90</v>
      </c>
      <c r="F6" s="62" t="s">
        <v>91</v>
      </c>
    </row>
    <row r="7" spans="2:6" x14ac:dyDescent="0.2">
      <c r="B7" s="28" t="s">
        <v>92</v>
      </c>
      <c r="C7" s="28">
        <v>2022</v>
      </c>
      <c r="D7" s="28" t="s">
        <v>202</v>
      </c>
      <c r="E7" s="28" t="s">
        <v>93</v>
      </c>
      <c r="F7" s="29">
        <v>554536</v>
      </c>
    </row>
    <row r="8" spans="2:6" x14ac:dyDescent="0.2">
      <c r="B8" s="28" t="s">
        <v>92</v>
      </c>
      <c r="C8" s="28">
        <v>2022</v>
      </c>
      <c r="D8" s="28" t="s">
        <v>203</v>
      </c>
      <c r="E8" s="28" t="s">
        <v>93</v>
      </c>
      <c r="F8" s="29">
        <v>540643</v>
      </c>
    </row>
    <row r="9" spans="2:6" x14ac:dyDescent="0.2">
      <c r="B9" s="28" t="s">
        <v>92</v>
      </c>
      <c r="C9" s="28">
        <v>2022</v>
      </c>
      <c r="D9" s="28" t="s">
        <v>204</v>
      </c>
      <c r="E9" s="28" t="s">
        <v>93</v>
      </c>
      <c r="F9" s="29">
        <v>577548</v>
      </c>
    </row>
    <row r="10" spans="2:6" x14ac:dyDescent="0.2">
      <c r="B10" s="28" t="s">
        <v>92</v>
      </c>
      <c r="C10" s="28">
        <v>2022</v>
      </c>
      <c r="D10" s="28" t="s">
        <v>209</v>
      </c>
      <c r="E10" s="28" t="s">
        <v>93</v>
      </c>
      <c r="F10" s="29">
        <v>455905</v>
      </c>
    </row>
    <row r="11" spans="2:6" x14ac:dyDescent="0.2">
      <c r="B11" s="28" t="s">
        <v>92</v>
      </c>
      <c r="C11" s="28">
        <v>2022</v>
      </c>
      <c r="D11" s="28" t="s">
        <v>205</v>
      </c>
      <c r="E11" s="28" t="s">
        <v>93</v>
      </c>
      <c r="F11" s="29">
        <v>490871</v>
      </c>
    </row>
    <row r="12" spans="2:6" x14ac:dyDescent="0.2">
      <c r="B12" s="28" t="s">
        <v>92</v>
      </c>
      <c r="C12" s="28">
        <v>2022</v>
      </c>
      <c r="D12" s="28" t="s">
        <v>206</v>
      </c>
      <c r="E12" s="28" t="s">
        <v>93</v>
      </c>
      <c r="F12" s="29">
        <v>446383</v>
      </c>
    </row>
    <row r="13" spans="2:6" x14ac:dyDescent="0.2">
      <c r="B13" s="28" t="s">
        <v>92</v>
      </c>
      <c r="C13" s="28">
        <v>2022</v>
      </c>
      <c r="D13" s="28" t="s">
        <v>202</v>
      </c>
      <c r="E13" s="28" t="s">
        <v>207</v>
      </c>
      <c r="F13" s="145">
        <v>457726</v>
      </c>
    </row>
    <row r="14" spans="2:6" x14ac:dyDescent="0.2">
      <c r="B14" s="28" t="s">
        <v>92</v>
      </c>
      <c r="C14" s="28">
        <v>2022</v>
      </c>
      <c r="D14" s="28" t="s">
        <v>203</v>
      </c>
      <c r="E14" s="28" t="s">
        <v>207</v>
      </c>
      <c r="F14" s="145">
        <v>347696</v>
      </c>
    </row>
    <row r="15" spans="2:6" x14ac:dyDescent="0.2">
      <c r="B15" s="28" t="s">
        <v>92</v>
      </c>
      <c r="C15" s="28">
        <v>2022</v>
      </c>
      <c r="D15" s="28" t="s">
        <v>204</v>
      </c>
      <c r="E15" s="28" t="s">
        <v>207</v>
      </c>
      <c r="F15" s="145">
        <v>384541</v>
      </c>
    </row>
    <row r="16" spans="2:6" x14ac:dyDescent="0.2">
      <c r="B16" s="28" t="s">
        <v>92</v>
      </c>
      <c r="C16" s="28">
        <v>2022</v>
      </c>
      <c r="D16" s="28" t="s">
        <v>209</v>
      </c>
      <c r="E16" s="28" t="s">
        <v>207</v>
      </c>
      <c r="F16" s="145">
        <v>386420</v>
      </c>
    </row>
    <row r="17" spans="2:6" x14ac:dyDescent="0.2">
      <c r="B17" s="28" t="s">
        <v>92</v>
      </c>
      <c r="C17" s="28">
        <v>2022</v>
      </c>
      <c r="D17" s="28" t="s">
        <v>205</v>
      </c>
      <c r="E17" s="28" t="s">
        <v>207</v>
      </c>
      <c r="F17" s="145">
        <v>370970</v>
      </c>
    </row>
    <row r="18" spans="2:6" x14ac:dyDescent="0.2">
      <c r="B18" s="28" t="s">
        <v>92</v>
      </c>
      <c r="C18" s="28">
        <v>2022</v>
      </c>
      <c r="D18" s="28" t="s">
        <v>206</v>
      </c>
      <c r="E18" s="28" t="s">
        <v>207</v>
      </c>
      <c r="F18" s="145">
        <v>430754</v>
      </c>
    </row>
    <row r="19" spans="2:6" x14ac:dyDescent="0.2">
      <c r="B19" s="28" t="s">
        <v>92</v>
      </c>
      <c r="C19" s="28">
        <v>2022</v>
      </c>
      <c r="D19" s="28" t="s">
        <v>202</v>
      </c>
      <c r="E19" s="28" t="s">
        <v>208</v>
      </c>
      <c r="F19" s="29">
        <v>500847</v>
      </c>
    </row>
    <row r="20" spans="2:6" x14ac:dyDescent="0.2">
      <c r="B20" s="28" t="s">
        <v>92</v>
      </c>
      <c r="C20" s="28">
        <v>2022</v>
      </c>
      <c r="D20" s="28" t="s">
        <v>203</v>
      </c>
      <c r="E20" s="28" t="s">
        <v>208</v>
      </c>
      <c r="F20" s="29">
        <v>507070</v>
      </c>
    </row>
    <row r="21" spans="2:6" x14ac:dyDescent="0.2">
      <c r="B21" s="28" t="s">
        <v>92</v>
      </c>
      <c r="C21" s="28">
        <v>2022</v>
      </c>
      <c r="D21" s="28" t="s">
        <v>204</v>
      </c>
      <c r="E21" s="28" t="s">
        <v>208</v>
      </c>
      <c r="F21" s="29">
        <v>482346</v>
      </c>
    </row>
    <row r="22" spans="2:6" x14ac:dyDescent="0.2">
      <c r="B22" s="28" t="s">
        <v>92</v>
      </c>
      <c r="C22" s="28">
        <v>2022</v>
      </c>
      <c r="D22" s="28" t="s">
        <v>209</v>
      </c>
      <c r="E22" s="28" t="s">
        <v>208</v>
      </c>
      <c r="F22" s="29">
        <v>608713</v>
      </c>
    </row>
    <row r="23" spans="2:6" x14ac:dyDescent="0.2">
      <c r="B23" s="28" t="s">
        <v>92</v>
      </c>
      <c r="C23" s="28">
        <v>2022</v>
      </c>
      <c r="D23" s="28" t="s">
        <v>205</v>
      </c>
      <c r="E23" s="28" t="s">
        <v>208</v>
      </c>
      <c r="F23" s="29">
        <v>554127</v>
      </c>
    </row>
    <row r="24" spans="2:6" x14ac:dyDescent="0.2">
      <c r="B24" s="28" t="s">
        <v>92</v>
      </c>
      <c r="C24" s="28">
        <v>2022</v>
      </c>
      <c r="D24" s="28" t="s">
        <v>206</v>
      </c>
      <c r="E24" s="28" t="s">
        <v>208</v>
      </c>
      <c r="F24" s="29">
        <v>500649</v>
      </c>
    </row>
    <row r="25" spans="2:6" x14ac:dyDescent="0.2">
      <c r="B25" s="28" t="s">
        <v>94</v>
      </c>
      <c r="C25" s="28">
        <v>2022</v>
      </c>
      <c r="D25" s="28" t="s">
        <v>202</v>
      </c>
      <c r="E25" s="28" t="s">
        <v>93</v>
      </c>
      <c r="F25" s="29">
        <v>545780</v>
      </c>
    </row>
    <row r="26" spans="2:6" x14ac:dyDescent="0.2">
      <c r="B26" s="28" t="s">
        <v>94</v>
      </c>
      <c r="C26" s="28">
        <v>2022</v>
      </c>
      <c r="D26" s="28" t="s">
        <v>203</v>
      </c>
      <c r="E26" s="28" t="s">
        <v>93</v>
      </c>
      <c r="F26" s="29">
        <v>440644</v>
      </c>
    </row>
    <row r="27" spans="2:6" x14ac:dyDescent="0.2">
      <c r="B27" s="28" t="s">
        <v>94</v>
      </c>
      <c r="C27" s="28">
        <v>2022</v>
      </c>
      <c r="D27" s="28" t="s">
        <v>204</v>
      </c>
      <c r="E27" s="28" t="s">
        <v>93</v>
      </c>
      <c r="F27" s="29">
        <v>580359</v>
      </c>
    </row>
    <row r="28" spans="2:6" x14ac:dyDescent="0.2">
      <c r="B28" s="28" t="s">
        <v>94</v>
      </c>
      <c r="C28" s="28">
        <v>2022</v>
      </c>
      <c r="D28" s="28" t="s">
        <v>209</v>
      </c>
      <c r="E28" s="28" t="s">
        <v>93</v>
      </c>
      <c r="F28" s="29">
        <v>536225</v>
      </c>
    </row>
    <row r="29" spans="2:6" x14ac:dyDescent="0.2">
      <c r="B29" s="28" t="s">
        <v>94</v>
      </c>
      <c r="C29" s="28">
        <v>2022</v>
      </c>
      <c r="D29" s="28" t="s">
        <v>205</v>
      </c>
      <c r="E29" s="28" t="s">
        <v>93</v>
      </c>
      <c r="F29" s="29">
        <v>414908</v>
      </c>
    </row>
    <row r="30" spans="2:6" x14ac:dyDescent="0.2">
      <c r="B30" s="28" t="s">
        <v>94</v>
      </c>
      <c r="C30" s="28">
        <v>2022</v>
      </c>
      <c r="D30" s="28" t="s">
        <v>206</v>
      </c>
      <c r="E30" s="28" t="s">
        <v>93</v>
      </c>
      <c r="F30" s="29">
        <v>377997</v>
      </c>
    </row>
    <row r="31" spans="2:6" x14ac:dyDescent="0.2">
      <c r="B31" s="28" t="s">
        <v>94</v>
      </c>
      <c r="C31" s="28">
        <v>2022</v>
      </c>
      <c r="D31" s="28" t="s">
        <v>202</v>
      </c>
      <c r="E31" s="28" t="s">
        <v>207</v>
      </c>
      <c r="F31" s="145">
        <v>331289</v>
      </c>
    </row>
    <row r="32" spans="2:6" x14ac:dyDescent="0.2">
      <c r="B32" s="28" t="s">
        <v>94</v>
      </c>
      <c r="C32" s="28">
        <v>2022</v>
      </c>
      <c r="D32" s="28" t="s">
        <v>203</v>
      </c>
      <c r="E32" s="28" t="s">
        <v>207</v>
      </c>
      <c r="F32" s="145">
        <v>384572</v>
      </c>
    </row>
    <row r="33" spans="2:12" x14ac:dyDescent="0.2">
      <c r="B33" s="28" t="s">
        <v>94</v>
      </c>
      <c r="C33" s="28">
        <v>2022</v>
      </c>
      <c r="D33" s="28" t="s">
        <v>204</v>
      </c>
      <c r="E33" s="28" t="s">
        <v>207</v>
      </c>
      <c r="F33" s="145">
        <v>365813</v>
      </c>
    </row>
    <row r="34" spans="2:12" ht="14.25" x14ac:dyDescent="0.2">
      <c r="B34" s="28" t="s">
        <v>94</v>
      </c>
      <c r="C34" s="28">
        <v>2022</v>
      </c>
      <c r="D34" s="28" t="s">
        <v>209</v>
      </c>
      <c r="E34" s="28" t="s">
        <v>207</v>
      </c>
      <c r="F34" s="145">
        <v>396338</v>
      </c>
      <c r="H34"/>
      <c r="I34"/>
      <c r="J34"/>
      <c r="K34"/>
      <c r="L34"/>
    </row>
    <row r="35" spans="2:12" ht="14.25" x14ac:dyDescent="0.2">
      <c r="B35" s="28" t="s">
        <v>94</v>
      </c>
      <c r="C35" s="28">
        <v>2022</v>
      </c>
      <c r="D35" s="28" t="s">
        <v>205</v>
      </c>
      <c r="E35" s="28" t="s">
        <v>207</v>
      </c>
      <c r="F35" s="145">
        <v>453761</v>
      </c>
      <c r="H35"/>
      <c r="I35"/>
      <c r="J35"/>
      <c r="K35"/>
      <c r="L35"/>
    </row>
    <row r="36" spans="2:12" ht="14.25" x14ac:dyDescent="0.2">
      <c r="B36" s="28" t="s">
        <v>94</v>
      </c>
      <c r="C36" s="28">
        <v>2022</v>
      </c>
      <c r="D36" s="28" t="s">
        <v>206</v>
      </c>
      <c r="E36" s="28" t="s">
        <v>207</v>
      </c>
      <c r="F36" s="145">
        <v>356538</v>
      </c>
      <c r="H36"/>
      <c r="I36"/>
      <c r="J36"/>
      <c r="K36"/>
      <c r="L36"/>
    </row>
    <row r="37" spans="2:12" ht="14.25" x14ac:dyDescent="0.2">
      <c r="B37" s="28" t="s">
        <v>94</v>
      </c>
      <c r="C37" s="28">
        <v>2022</v>
      </c>
      <c r="D37" s="28" t="s">
        <v>202</v>
      </c>
      <c r="E37" s="28" t="s">
        <v>208</v>
      </c>
      <c r="F37" s="29">
        <v>606332</v>
      </c>
      <c r="H37"/>
      <c r="I37"/>
      <c r="J37"/>
      <c r="K37"/>
      <c r="L37"/>
    </row>
    <row r="38" spans="2:12" ht="14.25" x14ac:dyDescent="0.2">
      <c r="B38" s="28" t="s">
        <v>94</v>
      </c>
      <c r="C38" s="28">
        <v>2022</v>
      </c>
      <c r="D38" s="28" t="s">
        <v>203</v>
      </c>
      <c r="E38" s="28" t="s">
        <v>208</v>
      </c>
      <c r="F38" s="29">
        <v>535218</v>
      </c>
      <c r="H38"/>
      <c r="I38"/>
      <c r="J38"/>
      <c r="K38"/>
      <c r="L38"/>
    </row>
    <row r="39" spans="2:12" ht="14.25" x14ac:dyDescent="0.2">
      <c r="B39" s="28" t="s">
        <v>94</v>
      </c>
      <c r="C39" s="28">
        <v>2022</v>
      </c>
      <c r="D39" s="28" t="s">
        <v>204</v>
      </c>
      <c r="E39" s="28" t="s">
        <v>208</v>
      </c>
      <c r="F39" s="29">
        <v>493364</v>
      </c>
      <c r="H39"/>
      <c r="I39"/>
      <c r="J39"/>
      <c r="K39"/>
      <c r="L39"/>
    </row>
    <row r="40" spans="2:12" ht="14.25" x14ac:dyDescent="0.2">
      <c r="B40" s="28" t="s">
        <v>94</v>
      </c>
      <c r="C40" s="28">
        <v>2022</v>
      </c>
      <c r="D40" s="28" t="s">
        <v>209</v>
      </c>
      <c r="E40" s="28" t="s">
        <v>208</v>
      </c>
      <c r="F40" s="29">
        <v>559100</v>
      </c>
      <c r="H40"/>
      <c r="I40"/>
      <c r="J40"/>
      <c r="K40"/>
      <c r="L40"/>
    </row>
    <row r="41" spans="2:12" ht="14.25" x14ac:dyDescent="0.2">
      <c r="B41" s="28" t="s">
        <v>94</v>
      </c>
      <c r="C41" s="28">
        <v>2022</v>
      </c>
      <c r="D41" s="28" t="s">
        <v>205</v>
      </c>
      <c r="E41" s="28" t="s">
        <v>208</v>
      </c>
      <c r="F41" s="29">
        <v>520592</v>
      </c>
      <c r="H41"/>
      <c r="I41"/>
      <c r="J41"/>
      <c r="K41"/>
      <c r="L41"/>
    </row>
    <row r="42" spans="2:12" ht="14.25" x14ac:dyDescent="0.2">
      <c r="B42" s="28" t="s">
        <v>94</v>
      </c>
      <c r="C42" s="28">
        <v>2022</v>
      </c>
      <c r="D42" s="28" t="s">
        <v>206</v>
      </c>
      <c r="E42" s="28" t="s">
        <v>208</v>
      </c>
      <c r="F42" s="29">
        <v>476975</v>
      </c>
      <c r="H42"/>
      <c r="I42"/>
      <c r="J42"/>
      <c r="K42"/>
      <c r="L42"/>
    </row>
    <row r="43" spans="2:12" ht="14.25" x14ac:dyDescent="0.2">
      <c r="B43" s="28" t="s">
        <v>95</v>
      </c>
      <c r="C43" s="28">
        <v>2022</v>
      </c>
      <c r="D43" s="28" t="s">
        <v>202</v>
      </c>
      <c r="E43" s="28" t="s">
        <v>93</v>
      </c>
      <c r="F43" s="29">
        <v>545621</v>
      </c>
      <c r="H43"/>
      <c r="I43"/>
      <c r="J43"/>
      <c r="K43"/>
      <c r="L43"/>
    </row>
    <row r="44" spans="2:12" ht="14.25" x14ac:dyDescent="0.2">
      <c r="B44" s="28" t="s">
        <v>95</v>
      </c>
      <c r="C44" s="28">
        <v>2022</v>
      </c>
      <c r="D44" s="28" t="s">
        <v>203</v>
      </c>
      <c r="E44" s="28" t="s">
        <v>93</v>
      </c>
      <c r="F44" s="29">
        <v>489255</v>
      </c>
      <c r="H44"/>
      <c r="I44"/>
      <c r="J44"/>
      <c r="K44"/>
      <c r="L44"/>
    </row>
    <row r="45" spans="2:12" ht="14.25" x14ac:dyDescent="0.2">
      <c r="B45" s="28" t="s">
        <v>95</v>
      </c>
      <c r="C45" s="28">
        <v>2022</v>
      </c>
      <c r="D45" s="28" t="s">
        <v>204</v>
      </c>
      <c r="E45" s="28" t="s">
        <v>93</v>
      </c>
      <c r="F45" s="29">
        <v>523124</v>
      </c>
      <c r="H45"/>
      <c r="I45"/>
      <c r="J45"/>
      <c r="K45"/>
      <c r="L45"/>
    </row>
    <row r="46" spans="2:12" ht="14.25" x14ac:dyDescent="0.2">
      <c r="B46" s="28" t="s">
        <v>95</v>
      </c>
      <c r="C46" s="28">
        <v>2022</v>
      </c>
      <c r="D46" s="28" t="s">
        <v>209</v>
      </c>
      <c r="E46" s="28" t="s">
        <v>93</v>
      </c>
      <c r="F46" s="29">
        <v>612216</v>
      </c>
      <c r="K46"/>
      <c r="L46"/>
    </row>
    <row r="47" spans="2:12" ht="14.25" x14ac:dyDescent="0.2">
      <c r="B47" s="28" t="s">
        <v>95</v>
      </c>
      <c r="C47" s="28">
        <v>2022</v>
      </c>
      <c r="D47" s="28" t="s">
        <v>205</v>
      </c>
      <c r="E47" s="28" t="s">
        <v>93</v>
      </c>
      <c r="F47" s="29">
        <v>425562</v>
      </c>
      <c r="K47"/>
      <c r="L47"/>
    </row>
    <row r="48" spans="2:12" ht="14.25" x14ac:dyDescent="0.2">
      <c r="B48" s="28" t="s">
        <v>95</v>
      </c>
      <c r="C48" s="28">
        <v>2022</v>
      </c>
      <c r="D48" s="28" t="s">
        <v>206</v>
      </c>
      <c r="E48" s="28" t="s">
        <v>93</v>
      </c>
      <c r="F48" s="29">
        <v>485285</v>
      </c>
      <c r="H48"/>
      <c r="I48"/>
      <c r="J48"/>
      <c r="K48"/>
      <c r="L48"/>
    </row>
    <row r="49" spans="2:12" ht="14.25" x14ac:dyDescent="0.2">
      <c r="B49" s="28" t="s">
        <v>95</v>
      </c>
      <c r="C49" s="28">
        <v>2022</v>
      </c>
      <c r="D49" s="28" t="s">
        <v>202</v>
      </c>
      <c r="E49" s="28" t="s">
        <v>207</v>
      </c>
      <c r="F49" s="145">
        <v>467173</v>
      </c>
      <c r="H49"/>
      <c r="I49"/>
      <c r="J49"/>
      <c r="K49"/>
      <c r="L49"/>
    </row>
    <row r="50" spans="2:12" ht="14.25" x14ac:dyDescent="0.2">
      <c r="B50" s="28" t="s">
        <v>95</v>
      </c>
      <c r="C50" s="28">
        <v>2022</v>
      </c>
      <c r="D50" s="28" t="s">
        <v>203</v>
      </c>
      <c r="E50" s="28" t="s">
        <v>207</v>
      </c>
      <c r="F50" s="145">
        <v>447637</v>
      </c>
      <c r="H50"/>
      <c r="I50"/>
      <c r="J50"/>
      <c r="K50"/>
      <c r="L50"/>
    </row>
    <row r="51" spans="2:12" ht="14.25" x14ac:dyDescent="0.2">
      <c r="B51" s="28" t="s">
        <v>95</v>
      </c>
      <c r="C51" s="28">
        <v>2022</v>
      </c>
      <c r="D51" s="28" t="s">
        <v>204</v>
      </c>
      <c r="E51" s="28" t="s">
        <v>207</v>
      </c>
      <c r="F51" s="145">
        <v>407542</v>
      </c>
      <c r="H51"/>
      <c r="I51"/>
      <c r="J51"/>
      <c r="K51"/>
      <c r="L51"/>
    </row>
    <row r="52" spans="2:12" ht="14.25" x14ac:dyDescent="0.2">
      <c r="B52" s="28" t="s">
        <v>95</v>
      </c>
      <c r="C52" s="28">
        <v>2022</v>
      </c>
      <c r="D52" s="28" t="s">
        <v>209</v>
      </c>
      <c r="E52" s="28" t="s">
        <v>207</v>
      </c>
      <c r="F52" s="145">
        <v>449575</v>
      </c>
      <c r="H52"/>
      <c r="I52"/>
      <c r="J52"/>
      <c r="K52"/>
      <c r="L52"/>
    </row>
    <row r="53" spans="2:12" ht="14.25" x14ac:dyDescent="0.2">
      <c r="B53" s="28" t="s">
        <v>95</v>
      </c>
      <c r="C53" s="28">
        <v>2022</v>
      </c>
      <c r="D53" s="28" t="s">
        <v>205</v>
      </c>
      <c r="E53" s="28" t="s">
        <v>207</v>
      </c>
      <c r="F53" s="145">
        <v>403248</v>
      </c>
      <c r="H53"/>
      <c r="I53"/>
      <c r="J53"/>
      <c r="K53"/>
      <c r="L53"/>
    </row>
    <row r="54" spans="2:12" ht="14.25" x14ac:dyDescent="0.2">
      <c r="B54" s="28" t="s">
        <v>95</v>
      </c>
      <c r="C54" s="28">
        <v>2022</v>
      </c>
      <c r="D54" s="28" t="s">
        <v>206</v>
      </c>
      <c r="E54" s="28" t="s">
        <v>207</v>
      </c>
      <c r="F54" s="145">
        <v>449293</v>
      </c>
      <c r="H54"/>
      <c r="I54"/>
      <c r="J54"/>
      <c r="K54"/>
      <c r="L54"/>
    </row>
    <row r="55" spans="2:12" ht="14.25" x14ac:dyDescent="0.2">
      <c r="B55" s="28" t="s">
        <v>95</v>
      </c>
      <c r="C55" s="28">
        <v>2022</v>
      </c>
      <c r="D55" s="28" t="s">
        <v>202</v>
      </c>
      <c r="E55" s="28" t="s">
        <v>208</v>
      </c>
      <c r="F55" s="29">
        <v>493845</v>
      </c>
      <c r="H55"/>
      <c r="I55"/>
      <c r="J55"/>
      <c r="K55"/>
      <c r="L55"/>
    </row>
    <row r="56" spans="2:12" ht="14.25" x14ac:dyDescent="0.2">
      <c r="B56" s="28" t="s">
        <v>95</v>
      </c>
      <c r="C56" s="28">
        <v>2022</v>
      </c>
      <c r="D56" s="28" t="s">
        <v>203</v>
      </c>
      <c r="E56" s="28" t="s">
        <v>208</v>
      </c>
      <c r="F56" s="29">
        <v>523464</v>
      </c>
      <c r="H56"/>
      <c r="I56"/>
      <c r="J56"/>
      <c r="K56"/>
      <c r="L56"/>
    </row>
    <row r="57" spans="2:12" ht="14.25" x14ac:dyDescent="0.2">
      <c r="B57" s="28" t="s">
        <v>95</v>
      </c>
      <c r="C57" s="28">
        <v>2022</v>
      </c>
      <c r="D57" s="28" t="s">
        <v>204</v>
      </c>
      <c r="E57" s="28" t="s">
        <v>208</v>
      </c>
      <c r="F57" s="29">
        <v>575692</v>
      </c>
      <c r="H57"/>
      <c r="I57"/>
      <c r="J57"/>
      <c r="K57"/>
      <c r="L57"/>
    </row>
    <row r="58" spans="2:12" ht="14.25" x14ac:dyDescent="0.2">
      <c r="B58" s="28" t="s">
        <v>95</v>
      </c>
      <c r="C58" s="28">
        <v>2022</v>
      </c>
      <c r="D58" s="28" t="s">
        <v>209</v>
      </c>
      <c r="E58" s="28" t="s">
        <v>208</v>
      </c>
      <c r="F58" s="29">
        <v>568633</v>
      </c>
      <c r="H58"/>
      <c r="I58"/>
      <c r="J58"/>
      <c r="K58"/>
      <c r="L58"/>
    </row>
    <row r="59" spans="2:12" ht="14.25" x14ac:dyDescent="0.2">
      <c r="B59" s="28" t="s">
        <v>95</v>
      </c>
      <c r="C59" s="28">
        <v>2022</v>
      </c>
      <c r="D59" s="28" t="s">
        <v>205</v>
      </c>
      <c r="E59" s="28" t="s">
        <v>208</v>
      </c>
      <c r="F59" s="29">
        <v>608569</v>
      </c>
      <c r="H59"/>
      <c r="I59"/>
      <c r="J59"/>
      <c r="K59"/>
      <c r="L59"/>
    </row>
    <row r="60" spans="2:12" ht="14.25" x14ac:dyDescent="0.2">
      <c r="B60" s="28" t="s">
        <v>95</v>
      </c>
      <c r="C60" s="28">
        <v>2022</v>
      </c>
      <c r="D60" s="28" t="s">
        <v>206</v>
      </c>
      <c r="E60" s="28" t="s">
        <v>208</v>
      </c>
      <c r="F60" s="29">
        <v>487012</v>
      </c>
      <c r="H60"/>
      <c r="I60"/>
      <c r="J60"/>
      <c r="K60"/>
      <c r="L60"/>
    </row>
    <row r="61" spans="2:12" ht="14.25" x14ac:dyDescent="0.2">
      <c r="B61" s="28" t="s">
        <v>96</v>
      </c>
      <c r="C61" s="28">
        <v>2022</v>
      </c>
      <c r="D61" s="28" t="s">
        <v>202</v>
      </c>
      <c r="E61" s="28" t="s">
        <v>93</v>
      </c>
      <c r="F61" s="29">
        <v>519177</v>
      </c>
      <c r="H61"/>
      <c r="I61"/>
      <c r="J61"/>
      <c r="K61"/>
      <c r="L61"/>
    </row>
    <row r="62" spans="2:12" ht="14.25" x14ac:dyDescent="0.2">
      <c r="B62" s="28" t="s">
        <v>96</v>
      </c>
      <c r="C62" s="28">
        <v>2022</v>
      </c>
      <c r="D62" s="28" t="s">
        <v>203</v>
      </c>
      <c r="E62" s="28" t="s">
        <v>93</v>
      </c>
      <c r="F62" s="29">
        <v>488597</v>
      </c>
      <c r="H62"/>
      <c r="I62"/>
      <c r="J62"/>
      <c r="K62"/>
      <c r="L62"/>
    </row>
    <row r="63" spans="2:12" ht="14.25" x14ac:dyDescent="0.2">
      <c r="B63" s="28" t="s">
        <v>96</v>
      </c>
      <c r="C63" s="28">
        <v>2022</v>
      </c>
      <c r="D63" s="28" t="s">
        <v>204</v>
      </c>
      <c r="E63" s="28" t="s">
        <v>93</v>
      </c>
      <c r="F63" s="29">
        <v>456653</v>
      </c>
      <c r="H63"/>
      <c r="I63"/>
      <c r="J63"/>
      <c r="K63"/>
      <c r="L63"/>
    </row>
    <row r="64" spans="2:12" ht="14.25" x14ac:dyDescent="0.2">
      <c r="B64" s="28" t="s">
        <v>96</v>
      </c>
      <c r="C64" s="28">
        <v>2022</v>
      </c>
      <c r="D64" s="28" t="s">
        <v>209</v>
      </c>
      <c r="E64" s="28" t="s">
        <v>93</v>
      </c>
      <c r="F64" s="29">
        <v>528843</v>
      </c>
      <c r="H64"/>
      <c r="I64"/>
      <c r="J64"/>
      <c r="K64"/>
      <c r="L64"/>
    </row>
    <row r="65" spans="2:12" ht="14.25" x14ac:dyDescent="0.2">
      <c r="B65" s="28" t="s">
        <v>96</v>
      </c>
      <c r="C65" s="28">
        <v>2022</v>
      </c>
      <c r="D65" s="28" t="s">
        <v>205</v>
      </c>
      <c r="E65" s="28" t="s">
        <v>93</v>
      </c>
      <c r="F65" s="29">
        <v>420782</v>
      </c>
      <c r="H65"/>
      <c r="I65"/>
      <c r="J65"/>
      <c r="K65"/>
      <c r="L65"/>
    </row>
    <row r="66" spans="2:12" ht="14.25" x14ac:dyDescent="0.2">
      <c r="B66" s="28" t="s">
        <v>96</v>
      </c>
      <c r="C66" s="28">
        <v>2022</v>
      </c>
      <c r="D66" s="28" t="s">
        <v>206</v>
      </c>
      <c r="E66" s="28" t="s">
        <v>93</v>
      </c>
      <c r="F66" s="29">
        <v>439751</v>
      </c>
      <c r="H66"/>
      <c r="I66"/>
      <c r="J66"/>
      <c r="K66"/>
      <c r="L66"/>
    </row>
    <row r="67" spans="2:12" ht="14.25" x14ac:dyDescent="0.2">
      <c r="B67" s="28" t="s">
        <v>96</v>
      </c>
      <c r="C67" s="28">
        <v>2022</v>
      </c>
      <c r="D67" s="28" t="s">
        <v>202</v>
      </c>
      <c r="E67" s="28" t="s">
        <v>207</v>
      </c>
      <c r="F67" s="145">
        <v>348503</v>
      </c>
      <c r="H67"/>
      <c r="I67"/>
      <c r="J67"/>
      <c r="K67"/>
      <c r="L67"/>
    </row>
    <row r="68" spans="2:12" ht="14.25" x14ac:dyDescent="0.2">
      <c r="B68" s="28" t="s">
        <v>96</v>
      </c>
      <c r="C68" s="28">
        <v>2022</v>
      </c>
      <c r="D68" s="28" t="s">
        <v>203</v>
      </c>
      <c r="E68" s="28" t="s">
        <v>207</v>
      </c>
      <c r="F68" s="145">
        <v>352086</v>
      </c>
      <c r="H68"/>
      <c r="I68"/>
      <c r="J68"/>
      <c r="K68"/>
      <c r="L68"/>
    </row>
    <row r="69" spans="2:12" ht="14.25" x14ac:dyDescent="0.2">
      <c r="B69" s="28" t="s">
        <v>96</v>
      </c>
      <c r="C69" s="28">
        <v>2022</v>
      </c>
      <c r="D69" s="28" t="s">
        <v>204</v>
      </c>
      <c r="E69" s="28" t="s">
        <v>207</v>
      </c>
      <c r="F69" s="145">
        <v>336824</v>
      </c>
      <c r="H69"/>
      <c r="I69"/>
      <c r="J69"/>
      <c r="K69"/>
      <c r="L69"/>
    </row>
    <row r="70" spans="2:12" x14ac:dyDescent="0.2">
      <c r="B70" s="28" t="s">
        <v>96</v>
      </c>
      <c r="C70" s="28">
        <v>2022</v>
      </c>
      <c r="D70" s="28" t="s">
        <v>209</v>
      </c>
      <c r="E70" s="28" t="s">
        <v>207</v>
      </c>
      <c r="F70" s="145">
        <v>350924</v>
      </c>
    </row>
    <row r="71" spans="2:12" x14ac:dyDescent="0.2">
      <c r="B71" s="28" t="s">
        <v>96</v>
      </c>
      <c r="C71" s="28">
        <v>2022</v>
      </c>
      <c r="D71" s="28" t="s">
        <v>205</v>
      </c>
      <c r="E71" s="28" t="s">
        <v>207</v>
      </c>
      <c r="F71" s="145">
        <v>338334</v>
      </c>
    </row>
    <row r="72" spans="2:12" x14ac:dyDescent="0.2">
      <c r="B72" s="28" t="s">
        <v>96</v>
      </c>
      <c r="C72" s="28">
        <v>2022</v>
      </c>
      <c r="D72" s="28" t="s">
        <v>206</v>
      </c>
      <c r="E72" s="28" t="s">
        <v>207</v>
      </c>
      <c r="F72" s="145">
        <v>383738</v>
      </c>
    </row>
    <row r="73" spans="2:12" x14ac:dyDescent="0.2">
      <c r="B73" s="28" t="s">
        <v>96</v>
      </c>
      <c r="C73" s="28">
        <v>2022</v>
      </c>
      <c r="D73" s="28" t="s">
        <v>202</v>
      </c>
      <c r="E73" s="28" t="s">
        <v>208</v>
      </c>
      <c r="F73" s="29">
        <v>508939</v>
      </c>
    </row>
    <row r="74" spans="2:12" x14ac:dyDescent="0.2">
      <c r="B74" s="28" t="s">
        <v>96</v>
      </c>
      <c r="C74" s="28">
        <v>2022</v>
      </c>
      <c r="D74" s="28" t="s">
        <v>203</v>
      </c>
      <c r="E74" s="28" t="s">
        <v>208</v>
      </c>
      <c r="F74" s="29">
        <v>393294</v>
      </c>
    </row>
    <row r="75" spans="2:12" x14ac:dyDescent="0.2">
      <c r="B75" s="28" t="s">
        <v>96</v>
      </c>
      <c r="C75" s="28">
        <v>2022</v>
      </c>
      <c r="D75" s="28" t="s">
        <v>204</v>
      </c>
      <c r="E75" s="28" t="s">
        <v>208</v>
      </c>
      <c r="F75" s="29">
        <v>430380</v>
      </c>
    </row>
    <row r="76" spans="2:12" x14ac:dyDescent="0.2">
      <c r="B76" s="28" t="s">
        <v>96</v>
      </c>
      <c r="C76" s="28">
        <v>2022</v>
      </c>
      <c r="D76" s="28" t="s">
        <v>209</v>
      </c>
      <c r="E76" s="28" t="s">
        <v>208</v>
      </c>
      <c r="F76" s="29">
        <v>390741</v>
      </c>
    </row>
    <row r="77" spans="2:12" x14ac:dyDescent="0.2">
      <c r="B77" s="28" t="s">
        <v>96</v>
      </c>
      <c r="C77" s="28">
        <v>2022</v>
      </c>
      <c r="D77" s="28" t="s">
        <v>205</v>
      </c>
      <c r="E77" s="28" t="s">
        <v>208</v>
      </c>
      <c r="F77" s="29">
        <v>500437</v>
      </c>
    </row>
    <row r="78" spans="2:12" x14ac:dyDescent="0.2">
      <c r="B78" s="28" t="s">
        <v>96</v>
      </c>
      <c r="C78" s="28">
        <v>2022</v>
      </c>
      <c r="D78" s="28" t="s">
        <v>206</v>
      </c>
      <c r="E78" s="28" t="s">
        <v>208</v>
      </c>
      <c r="F78" s="29">
        <v>522282</v>
      </c>
    </row>
    <row r="79" spans="2:12" x14ac:dyDescent="0.2">
      <c r="B79" s="28" t="s">
        <v>92</v>
      </c>
      <c r="C79" s="28">
        <v>2023</v>
      </c>
      <c r="D79" s="28" t="s">
        <v>202</v>
      </c>
      <c r="E79" s="28" t="s">
        <v>93</v>
      </c>
      <c r="F79" s="29">
        <v>514649</v>
      </c>
      <c r="G79" s="29"/>
    </row>
    <row r="80" spans="2:12" x14ac:dyDescent="0.2">
      <c r="B80" s="28" t="s">
        <v>92</v>
      </c>
      <c r="C80" s="28">
        <v>2023</v>
      </c>
      <c r="D80" s="28" t="s">
        <v>203</v>
      </c>
      <c r="E80" s="28" t="s">
        <v>93</v>
      </c>
      <c r="F80" s="29">
        <v>498673</v>
      </c>
      <c r="G80" s="29"/>
    </row>
    <row r="81" spans="2:7" x14ac:dyDescent="0.2">
      <c r="B81" s="28" t="s">
        <v>92</v>
      </c>
      <c r="C81" s="28">
        <v>2023</v>
      </c>
      <c r="D81" s="28" t="s">
        <v>204</v>
      </c>
      <c r="E81" s="28" t="s">
        <v>93</v>
      </c>
      <c r="F81" s="29">
        <v>541930</v>
      </c>
      <c r="G81" s="29"/>
    </row>
    <row r="82" spans="2:7" x14ac:dyDescent="0.2">
      <c r="B82" s="28" t="s">
        <v>92</v>
      </c>
      <c r="C82" s="28">
        <v>2023</v>
      </c>
      <c r="D82" s="28" t="s">
        <v>209</v>
      </c>
      <c r="E82" s="28" t="s">
        <v>93</v>
      </c>
      <c r="F82" s="29">
        <v>541022</v>
      </c>
      <c r="G82" s="29"/>
    </row>
    <row r="83" spans="2:7" x14ac:dyDescent="0.2">
      <c r="B83" s="28" t="s">
        <v>92</v>
      </c>
      <c r="C83" s="28">
        <v>2023</v>
      </c>
      <c r="D83" s="28" t="s">
        <v>205</v>
      </c>
      <c r="E83" s="28" t="s">
        <v>93</v>
      </c>
      <c r="F83" s="29">
        <v>487516</v>
      </c>
      <c r="G83" s="29"/>
    </row>
    <row r="84" spans="2:7" x14ac:dyDescent="0.2">
      <c r="B84" s="28" t="s">
        <v>92</v>
      </c>
      <c r="C84" s="28">
        <v>2023</v>
      </c>
      <c r="D84" s="28" t="s">
        <v>206</v>
      </c>
      <c r="E84" s="28" t="s">
        <v>93</v>
      </c>
      <c r="F84" s="29">
        <v>558787</v>
      </c>
      <c r="G84" s="29"/>
    </row>
    <row r="85" spans="2:7" x14ac:dyDescent="0.2">
      <c r="B85" s="28" t="s">
        <v>92</v>
      </c>
      <c r="C85" s="28">
        <v>2023</v>
      </c>
      <c r="D85" s="28" t="s">
        <v>202</v>
      </c>
      <c r="E85" s="28" t="s">
        <v>207</v>
      </c>
      <c r="F85" s="29">
        <v>393690</v>
      </c>
      <c r="G85" s="29"/>
    </row>
    <row r="86" spans="2:7" x14ac:dyDescent="0.2">
      <c r="B86" s="28" t="s">
        <v>92</v>
      </c>
      <c r="C86" s="28">
        <v>2023</v>
      </c>
      <c r="D86" s="28" t="s">
        <v>203</v>
      </c>
      <c r="E86" s="28" t="s">
        <v>207</v>
      </c>
      <c r="F86" s="29">
        <v>427784</v>
      </c>
      <c r="G86" s="29"/>
    </row>
    <row r="87" spans="2:7" x14ac:dyDescent="0.2">
      <c r="B87" s="28" t="s">
        <v>92</v>
      </c>
      <c r="C87" s="28">
        <v>2023</v>
      </c>
      <c r="D87" s="28" t="s">
        <v>204</v>
      </c>
      <c r="E87" s="28" t="s">
        <v>207</v>
      </c>
      <c r="F87" s="29">
        <v>386772</v>
      </c>
      <c r="G87" s="29"/>
    </row>
    <row r="88" spans="2:7" x14ac:dyDescent="0.2">
      <c r="B88" s="28" t="s">
        <v>92</v>
      </c>
      <c r="C88" s="28">
        <v>2023</v>
      </c>
      <c r="D88" s="28" t="s">
        <v>209</v>
      </c>
      <c r="E88" s="28" t="s">
        <v>207</v>
      </c>
      <c r="F88" s="29">
        <v>430461</v>
      </c>
      <c r="G88" s="29"/>
    </row>
    <row r="89" spans="2:7" x14ac:dyDescent="0.2">
      <c r="B89" s="28" t="s">
        <v>92</v>
      </c>
      <c r="C89" s="28">
        <v>2023</v>
      </c>
      <c r="D89" s="28" t="s">
        <v>205</v>
      </c>
      <c r="E89" s="28" t="s">
        <v>207</v>
      </c>
      <c r="F89" s="29">
        <v>481311</v>
      </c>
      <c r="G89" s="29"/>
    </row>
    <row r="90" spans="2:7" x14ac:dyDescent="0.2">
      <c r="B90" s="28" t="s">
        <v>92</v>
      </c>
      <c r="C90" s="28">
        <v>2023</v>
      </c>
      <c r="D90" s="28" t="s">
        <v>206</v>
      </c>
      <c r="E90" s="28" t="s">
        <v>207</v>
      </c>
      <c r="F90" s="29">
        <v>529637</v>
      </c>
      <c r="G90" s="29"/>
    </row>
    <row r="91" spans="2:7" x14ac:dyDescent="0.2">
      <c r="B91" s="28" t="s">
        <v>92</v>
      </c>
      <c r="C91" s="28">
        <v>2023</v>
      </c>
      <c r="D91" s="28" t="s">
        <v>202</v>
      </c>
      <c r="E91" s="28" t="s">
        <v>208</v>
      </c>
      <c r="F91" s="29">
        <v>596707</v>
      </c>
      <c r="G91" s="29"/>
    </row>
    <row r="92" spans="2:7" x14ac:dyDescent="0.2">
      <c r="B92" s="28" t="s">
        <v>92</v>
      </c>
      <c r="C92" s="28">
        <v>2023</v>
      </c>
      <c r="D92" s="28" t="s">
        <v>203</v>
      </c>
      <c r="E92" s="28" t="s">
        <v>208</v>
      </c>
      <c r="F92" s="29">
        <v>541275</v>
      </c>
      <c r="G92" s="29"/>
    </row>
    <row r="93" spans="2:7" x14ac:dyDescent="0.2">
      <c r="B93" s="28" t="s">
        <v>92</v>
      </c>
      <c r="C93" s="28">
        <v>2023</v>
      </c>
      <c r="D93" s="28" t="s">
        <v>204</v>
      </c>
      <c r="E93" s="28" t="s">
        <v>208</v>
      </c>
      <c r="F93" s="29">
        <v>574091</v>
      </c>
      <c r="G93" s="29"/>
    </row>
    <row r="94" spans="2:7" x14ac:dyDescent="0.2">
      <c r="B94" s="28" t="s">
        <v>92</v>
      </c>
      <c r="C94" s="28">
        <v>2023</v>
      </c>
      <c r="D94" s="28" t="s">
        <v>209</v>
      </c>
      <c r="E94" s="28" t="s">
        <v>208</v>
      </c>
      <c r="F94" s="29">
        <v>567246</v>
      </c>
      <c r="G94" s="29"/>
    </row>
    <row r="95" spans="2:7" x14ac:dyDescent="0.2">
      <c r="B95" s="28" t="s">
        <v>92</v>
      </c>
      <c r="C95" s="28">
        <v>2023</v>
      </c>
      <c r="D95" s="28" t="s">
        <v>205</v>
      </c>
      <c r="E95" s="28" t="s">
        <v>208</v>
      </c>
      <c r="F95" s="29">
        <v>530193</v>
      </c>
      <c r="G95" s="29"/>
    </row>
    <row r="96" spans="2:7" x14ac:dyDescent="0.2">
      <c r="B96" s="28" t="s">
        <v>92</v>
      </c>
      <c r="C96" s="28">
        <v>2023</v>
      </c>
      <c r="D96" s="28" t="s">
        <v>206</v>
      </c>
      <c r="E96" s="28" t="s">
        <v>208</v>
      </c>
      <c r="F96" s="29">
        <v>475884</v>
      </c>
      <c r="G96" s="29"/>
    </row>
    <row r="97" spans="2:7" x14ac:dyDescent="0.2">
      <c r="B97" s="28" t="s">
        <v>94</v>
      </c>
      <c r="C97" s="28">
        <v>2023</v>
      </c>
      <c r="D97" s="28" t="s">
        <v>202</v>
      </c>
      <c r="E97" s="28" t="s">
        <v>93</v>
      </c>
      <c r="F97" s="29">
        <v>533691</v>
      </c>
      <c r="G97" s="29"/>
    </row>
    <row r="98" spans="2:7" x14ac:dyDescent="0.2">
      <c r="B98" s="28" t="s">
        <v>94</v>
      </c>
      <c r="C98" s="28">
        <v>2023</v>
      </c>
      <c r="D98" s="28" t="s">
        <v>203</v>
      </c>
      <c r="E98" s="28" t="s">
        <v>93</v>
      </c>
      <c r="F98" s="29">
        <v>534352</v>
      </c>
      <c r="G98" s="29"/>
    </row>
    <row r="99" spans="2:7" x14ac:dyDescent="0.2">
      <c r="B99" s="28" t="s">
        <v>94</v>
      </c>
      <c r="C99" s="28">
        <v>2023</v>
      </c>
      <c r="D99" s="28" t="s">
        <v>204</v>
      </c>
      <c r="E99" s="28" t="s">
        <v>93</v>
      </c>
      <c r="F99" s="29">
        <v>588845</v>
      </c>
      <c r="G99" s="29"/>
    </row>
    <row r="100" spans="2:7" x14ac:dyDescent="0.2">
      <c r="B100" s="28" t="s">
        <v>94</v>
      </c>
      <c r="C100" s="28">
        <v>2023</v>
      </c>
      <c r="D100" s="28" t="s">
        <v>209</v>
      </c>
      <c r="E100" s="28" t="s">
        <v>93</v>
      </c>
      <c r="F100" s="29">
        <v>513750</v>
      </c>
      <c r="G100" s="29"/>
    </row>
    <row r="101" spans="2:7" x14ac:dyDescent="0.2">
      <c r="B101" s="28" t="s">
        <v>94</v>
      </c>
      <c r="C101" s="28">
        <v>2023</v>
      </c>
      <c r="D101" s="28" t="s">
        <v>205</v>
      </c>
      <c r="E101" s="28" t="s">
        <v>93</v>
      </c>
      <c r="F101" s="29">
        <v>516692</v>
      </c>
      <c r="G101" s="29"/>
    </row>
    <row r="102" spans="2:7" x14ac:dyDescent="0.2">
      <c r="B102" s="28" t="s">
        <v>94</v>
      </c>
      <c r="C102" s="28">
        <v>2023</v>
      </c>
      <c r="D102" s="28" t="s">
        <v>206</v>
      </c>
      <c r="E102" s="28" t="s">
        <v>93</v>
      </c>
      <c r="F102" s="29">
        <v>539883</v>
      </c>
      <c r="G102" s="29"/>
    </row>
    <row r="103" spans="2:7" x14ac:dyDescent="0.2">
      <c r="B103" s="28" t="s">
        <v>94</v>
      </c>
      <c r="C103" s="28">
        <v>2023</v>
      </c>
      <c r="D103" s="28" t="s">
        <v>202</v>
      </c>
      <c r="E103" s="28" t="s">
        <v>207</v>
      </c>
      <c r="F103" s="29">
        <v>418483</v>
      </c>
      <c r="G103" s="29"/>
    </row>
    <row r="104" spans="2:7" x14ac:dyDescent="0.2">
      <c r="B104" s="28" t="s">
        <v>94</v>
      </c>
      <c r="C104" s="28">
        <v>2023</v>
      </c>
      <c r="D104" s="28" t="s">
        <v>203</v>
      </c>
      <c r="E104" s="28" t="s">
        <v>207</v>
      </c>
      <c r="F104" s="29">
        <v>452955</v>
      </c>
      <c r="G104" s="29"/>
    </row>
    <row r="105" spans="2:7" x14ac:dyDescent="0.2">
      <c r="B105" s="28" t="s">
        <v>94</v>
      </c>
      <c r="C105" s="28">
        <v>2023</v>
      </c>
      <c r="D105" s="28" t="s">
        <v>204</v>
      </c>
      <c r="E105" s="28" t="s">
        <v>207</v>
      </c>
      <c r="F105" s="29">
        <v>432909</v>
      </c>
      <c r="G105" s="29"/>
    </row>
    <row r="106" spans="2:7" x14ac:dyDescent="0.2">
      <c r="B106" s="28" t="s">
        <v>94</v>
      </c>
      <c r="C106" s="28">
        <v>2023</v>
      </c>
      <c r="D106" s="28" t="s">
        <v>209</v>
      </c>
      <c r="E106" s="28" t="s">
        <v>207</v>
      </c>
      <c r="F106" s="29">
        <v>493853</v>
      </c>
      <c r="G106" s="29"/>
    </row>
    <row r="107" spans="2:7" x14ac:dyDescent="0.2">
      <c r="B107" s="28" t="s">
        <v>94</v>
      </c>
      <c r="C107" s="28">
        <v>2023</v>
      </c>
      <c r="D107" s="28" t="s">
        <v>205</v>
      </c>
      <c r="E107" s="28" t="s">
        <v>207</v>
      </c>
      <c r="F107" s="29">
        <v>393368</v>
      </c>
      <c r="G107" s="29"/>
    </row>
    <row r="108" spans="2:7" x14ac:dyDescent="0.2">
      <c r="B108" s="28" t="s">
        <v>94</v>
      </c>
      <c r="C108" s="28">
        <v>2023</v>
      </c>
      <c r="D108" s="28" t="s">
        <v>206</v>
      </c>
      <c r="E108" s="28" t="s">
        <v>207</v>
      </c>
      <c r="F108" s="29">
        <v>405946</v>
      </c>
      <c r="G108" s="29"/>
    </row>
    <row r="109" spans="2:7" x14ac:dyDescent="0.2">
      <c r="B109" s="28" t="s">
        <v>94</v>
      </c>
      <c r="C109" s="28">
        <v>2023</v>
      </c>
      <c r="D109" s="28" t="s">
        <v>202</v>
      </c>
      <c r="E109" s="28" t="s">
        <v>208</v>
      </c>
      <c r="F109" s="29">
        <v>561874</v>
      </c>
      <c r="G109" s="29"/>
    </row>
    <row r="110" spans="2:7" x14ac:dyDescent="0.2">
      <c r="B110" s="28" t="s">
        <v>94</v>
      </c>
      <c r="C110" s="28">
        <v>2023</v>
      </c>
      <c r="D110" s="28" t="s">
        <v>203</v>
      </c>
      <c r="E110" s="28" t="s">
        <v>208</v>
      </c>
      <c r="F110" s="29">
        <v>544747</v>
      </c>
      <c r="G110" s="29"/>
    </row>
    <row r="111" spans="2:7" x14ac:dyDescent="0.2">
      <c r="B111" s="28" t="s">
        <v>94</v>
      </c>
      <c r="C111" s="28">
        <v>2023</v>
      </c>
      <c r="D111" s="28" t="s">
        <v>204</v>
      </c>
      <c r="E111" s="28" t="s">
        <v>208</v>
      </c>
      <c r="F111" s="29">
        <v>470339</v>
      </c>
      <c r="G111" s="29"/>
    </row>
    <row r="112" spans="2:7" x14ac:dyDescent="0.2">
      <c r="B112" s="28" t="s">
        <v>94</v>
      </c>
      <c r="C112" s="28">
        <v>2023</v>
      </c>
      <c r="D112" s="28" t="s">
        <v>209</v>
      </c>
      <c r="E112" s="28" t="s">
        <v>208</v>
      </c>
      <c r="F112" s="29">
        <v>530410</v>
      </c>
      <c r="G112" s="29"/>
    </row>
    <row r="113" spans="2:7" x14ac:dyDescent="0.2">
      <c r="B113" s="28" t="s">
        <v>94</v>
      </c>
      <c r="C113" s="28">
        <v>2023</v>
      </c>
      <c r="D113" s="28" t="s">
        <v>205</v>
      </c>
      <c r="E113" s="28" t="s">
        <v>208</v>
      </c>
      <c r="F113" s="29">
        <v>455378</v>
      </c>
      <c r="G113" s="29"/>
    </row>
    <row r="114" spans="2:7" x14ac:dyDescent="0.2">
      <c r="B114" s="28" t="s">
        <v>94</v>
      </c>
      <c r="C114" s="28">
        <v>2023</v>
      </c>
      <c r="D114" s="28" t="s">
        <v>206</v>
      </c>
      <c r="E114" s="28" t="s">
        <v>208</v>
      </c>
      <c r="F114" s="29">
        <v>668180</v>
      </c>
      <c r="G114" s="29"/>
    </row>
    <row r="115" spans="2:7" x14ac:dyDescent="0.2">
      <c r="B115" s="28" t="s">
        <v>95</v>
      </c>
      <c r="C115" s="28">
        <v>2023</v>
      </c>
      <c r="D115" s="28" t="s">
        <v>202</v>
      </c>
      <c r="E115" s="28" t="s">
        <v>93</v>
      </c>
      <c r="F115" s="29">
        <v>597626</v>
      </c>
      <c r="G115" s="29"/>
    </row>
    <row r="116" spans="2:7" x14ac:dyDescent="0.2">
      <c r="B116" s="28" t="s">
        <v>95</v>
      </c>
      <c r="C116" s="28">
        <v>2023</v>
      </c>
      <c r="D116" s="28" t="s">
        <v>203</v>
      </c>
      <c r="E116" s="28" t="s">
        <v>93</v>
      </c>
      <c r="F116" s="29">
        <v>612909</v>
      </c>
      <c r="G116" s="29"/>
    </row>
    <row r="117" spans="2:7" x14ac:dyDescent="0.2">
      <c r="B117" s="28" t="s">
        <v>95</v>
      </c>
      <c r="C117" s="28">
        <v>2023</v>
      </c>
      <c r="D117" s="28" t="s">
        <v>204</v>
      </c>
      <c r="E117" s="28" t="s">
        <v>93</v>
      </c>
      <c r="F117" s="29">
        <v>585669</v>
      </c>
      <c r="G117" s="29"/>
    </row>
    <row r="118" spans="2:7" x14ac:dyDescent="0.2">
      <c r="B118" s="28" t="s">
        <v>95</v>
      </c>
      <c r="C118" s="28">
        <v>2023</v>
      </c>
      <c r="D118" s="28" t="s">
        <v>209</v>
      </c>
      <c r="E118" s="28" t="s">
        <v>93</v>
      </c>
      <c r="F118" s="29">
        <v>641282</v>
      </c>
      <c r="G118" s="29"/>
    </row>
    <row r="119" spans="2:7" x14ac:dyDescent="0.2">
      <c r="B119" s="28" t="s">
        <v>95</v>
      </c>
      <c r="C119" s="28">
        <v>2023</v>
      </c>
      <c r="D119" s="28" t="s">
        <v>205</v>
      </c>
      <c r="E119" s="28" t="s">
        <v>93</v>
      </c>
      <c r="F119" s="29">
        <v>447013</v>
      </c>
      <c r="G119" s="29"/>
    </row>
    <row r="120" spans="2:7" x14ac:dyDescent="0.2">
      <c r="B120" s="28" t="s">
        <v>95</v>
      </c>
      <c r="C120" s="28">
        <v>2023</v>
      </c>
      <c r="D120" s="28" t="s">
        <v>206</v>
      </c>
      <c r="E120" s="28" t="s">
        <v>93</v>
      </c>
      <c r="F120" s="29">
        <v>476238</v>
      </c>
      <c r="G120" s="29"/>
    </row>
    <row r="121" spans="2:7" x14ac:dyDescent="0.2">
      <c r="B121" s="28" t="s">
        <v>95</v>
      </c>
      <c r="C121" s="28">
        <v>2023</v>
      </c>
      <c r="D121" s="28" t="s">
        <v>202</v>
      </c>
      <c r="E121" s="28" t="s">
        <v>207</v>
      </c>
      <c r="F121" s="29">
        <v>421466</v>
      </c>
      <c r="G121" s="29"/>
    </row>
    <row r="122" spans="2:7" x14ac:dyDescent="0.2">
      <c r="B122" s="28" t="s">
        <v>95</v>
      </c>
      <c r="C122" s="28">
        <v>2023</v>
      </c>
      <c r="D122" s="28" t="s">
        <v>203</v>
      </c>
      <c r="E122" s="28" t="s">
        <v>207</v>
      </c>
      <c r="F122" s="29">
        <v>427983</v>
      </c>
      <c r="G122" s="29"/>
    </row>
    <row r="123" spans="2:7" x14ac:dyDescent="0.2">
      <c r="B123" s="28" t="s">
        <v>95</v>
      </c>
      <c r="C123" s="28">
        <v>2023</v>
      </c>
      <c r="D123" s="28" t="s">
        <v>204</v>
      </c>
      <c r="E123" s="28" t="s">
        <v>207</v>
      </c>
      <c r="F123" s="29">
        <v>429498</v>
      </c>
      <c r="G123" s="29"/>
    </row>
    <row r="124" spans="2:7" x14ac:dyDescent="0.2">
      <c r="B124" s="28" t="s">
        <v>95</v>
      </c>
      <c r="C124" s="28">
        <v>2023</v>
      </c>
      <c r="D124" s="28" t="s">
        <v>209</v>
      </c>
      <c r="E124" s="28" t="s">
        <v>207</v>
      </c>
      <c r="F124" s="29">
        <v>544597</v>
      </c>
      <c r="G124" s="29"/>
    </row>
    <row r="125" spans="2:7" x14ac:dyDescent="0.2">
      <c r="B125" s="28" t="s">
        <v>95</v>
      </c>
      <c r="C125" s="28">
        <v>2023</v>
      </c>
      <c r="D125" s="28" t="s">
        <v>205</v>
      </c>
      <c r="E125" s="28" t="s">
        <v>207</v>
      </c>
      <c r="F125" s="29">
        <v>446014</v>
      </c>
      <c r="G125" s="29"/>
    </row>
    <row r="126" spans="2:7" x14ac:dyDescent="0.2">
      <c r="B126" s="28" t="s">
        <v>95</v>
      </c>
      <c r="C126" s="28">
        <v>2023</v>
      </c>
      <c r="D126" s="28" t="s">
        <v>206</v>
      </c>
      <c r="E126" s="28" t="s">
        <v>207</v>
      </c>
      <c r="F126" s="29">
        <v>487611</v>
      </c>
      <c r="G126" s="29"/>
    </row>
    <row r="127" spans="2:7" x14ac:dyDescent="0.2">
      <c r="B127" s="28" t="s">
        <v>95</v>
      </c>
      <c r="C127" s="28">
        <v>2023</v>
      </c>
      <c r="D127" s="28" t="s">
        <v>202</v>
      </c>
      <c r="E127" s="28" t="s">
        <v>208</v>
      </c>
      <c r="F127" s="29">
        <v>565106</v>
      </c>
      <c r="G127" s="29"/>
    </row>
    <row r="128" spans="2:7" x14ac:dyDescent="0.2">
      <c r="B128" s="28" t="s">
        <v>95</v>
      </c>
      <c r="C128" s="28">
        <v>2023</v>
      </c>
      <c r="D128" s="28" t="s">
        <v>203</v>
      </c>
      <c r="E128" s="28" t="s">
        <v>208</v>
      </c>
      <c r="F128" s="29">
        <v>567487</v>
      </c>
      <c r="G128" s="29"/>
    </row>
    <row r="129" spans="2:7" x14ac:dyDescent="0.2">
      <c r="B129" s="28" t="s">
        <v>95</v>
      </c>
      <c r="C129" s="28">
        <v>2023</v>
      </c>
      <c r="D129" s="28" t="s">
        <v>204</v>
      </c>
      <c r="E129" s="28" t="s">
        <v>208</v>
      </c>
      <c r="F129" s="29">
        <v>538648</v>
      </c>
      <c r="G129" s="29"/>
    </row>
    <row r="130" spans="2:7" x14ac:dyDescent="0.2">
      <c r="B130" s="28" t="s">
        <v>95</v>
      </c>
      <c r="C130" s="28">
        <v>2023</v>
      </c>
      <c r="D130" s="28" t="s">
        <v>209</v>
      </c>
      <c r="E130" s="28" t="s">
        <v>208</v>
      </c>
      <c r="F130" s="29">
        <v>708608</v>
      </c>
      <c r="G130" s="29"/>
    </row>
    <row r="131" spans="2:7" x14ac:dyDescent="0.2">
      <c r="B131" s="28" t="s">
        <v>95</v>
      </c>
      <c r="C131" s="28">
        <v>2023</v>
      </c>
      <c r="D131" s="28" t="s">
        <v>205</v>
      </c>
      <c r="E131" s="28" t="s">
        <v>208</v>
      </c>
      <c r="F131" s="29">
        <v>634104</v>
      </c>
      <c r="G131" s="29"/>
    </row>
    <row r="132" spans="2:7" x14ac:dyDescent="0.2">
      <c r="B132" s="28" t="s">
        <v>95</v>
      </c>
      <c r="C132" s="28">
        <v>2023</v>
      </c>
      <c r="D132" s="28" t="s">
        <v>206</v>
      </c>
      <c r="E132" s="28" t="s">
        <v>208</v>
      </c>
      <c r="F132" s="29">
        <v>522179</v>
      </c>
      <c r="G132" s="29"/>
    </row>
    <row r="133" spans="2:7" x14ac:dyDescent="0.2">
      <c r="B133" s="28" t="s">
        <v>96</v>
      </c>
      <c r="C133" s="28">
        <v>2023</v>
      </c>
      <c r="D133" s="28" t="s">
        <v>202</v>
      </c>
      <c r="E133" s="28" t="s">
        <v>93</v>
      </c>
      <c r="F133" s="29">
        <v>511406</v>
      </c>
      <c r="G133" s="29"/>
    </row>
    <row r="134" spans="2:7" x14ac:dyDescent="0.2">
      <c r="B134" s="28" t="s">
        <v>96</v>
      </c>
      <c r="C134" s="28">
        <v>2023</v>
      </c>
      <c r="D134" s="28" t="s">
        <v>203</v>
      </c>
      <c r="E134" s="28" t="s">
        <v>93</v>
      </c>
      <c r="F134" s="29">
        <v>487020</v>
      </c>
      <c r="G134" s="29"/>
    </row>
    <row r="135" spans="2:7" x14ac:dyDescent="0.2">
      <c r="B135" s="28" t="s">
        <v>96</v>
      </c>
      <c r="C135" s="28">
        <v>2023</v>
      </c>
      <c r="D135" s="28" t="s">
        <v>204</v>
      </c>
      <c r="E135" s="28" t="s">
        <v>93</v>
      </c>
      <c r="F135" s="29">
        <v>563504</v>
      </c>
      <c r="G135" s="29"/>
    </row>
    <row r="136" spans="2:7" x14ac:dyDescent="0.2">
      <c r="B136" s="28" t="s">
        <v>96</v>
      </c>
      <c r="C136" s="28">
        <v>2023</v>
      </c>
      <c r="D136" s="28" t="s">
        <v>209</v>
      </c>
      <c r="E136" s="28" t="s">
        <v>93</v>
      </c>
      <c r="F136" s="29">
        <v>565428</v>
      </c>
      <c r="G136" s="29"/>
    </row>
    <row r="137" spans="2:7" x14ac:dyDescent="0.2">
      <c r="B137" s="28" t="s">
        <v>96</v>
      </c>
      <c r="C137" s="28">
        <v>2023</v>
      </c>
      <c r="D137" s="28" t="s">
        <v>205</v>
      </c>
      <c r="E137" s="28" t="s">
        <v>93</v>
      </c>
      <c r="F137" s="29">
        <v>380743</v>
      </c>
      <c r="G137" s="29"/>
    </row>
    <row r="138" spans="2:7" x14ac:dyDescent="0.2">
      <c r="B138" s="28" t="s">
        <v>96</v>
      </c>
      <c r="C138" s="28">
        <v>2023</v>
      </c>
      <c r="D138" s="28" t="s">
        <v>206</v>
      </c>
      <c r="E138" s="28" t="s">
        <v>93</v>
      </c>
      <c r="F138" s="29">
        <v>351971</v>
      </c>
      <c r="G138" s="29"/>
    </row>
    <row r="139" spans="2:7" x14ac:dyDescent="0.2">
      <c r="B139" s="28" t="s">
        <v>96</v>
      </c>
      <c r="C139" s="28">
        <v>2023</v>
      </c>
      <c r="D139" s="28" t="s">
        <v>202</v>
      </c>
      <c r="E139" s="28" t="s">
        <v>207</v>
      </c>
      <c r="F139" s="145">
        <v>388646</v>
      </c>
      <c r="G139" s="29"/>
    </row>
    <row r="140" spans="2:7" x14ac:dyDescent="0.2">
      <c r="B140" s="28" t="s">
        <v>96</v>
      </c>
      <c r="C140" s="28">
        <v>2023</v>
      </c>
      <c r="D140" s="28" t="s">
        <v>203</v>
      </c>
      <c r="E140" s="28" t="s">
        <v>207</v>
      </c>
      <c r="F140" s="145">
        <v>337401</v>
      </c>
      <c r="G140" s="29"/>
    </row>
    <row r="141" spans="2:7" x14ac:dyDescent="0.2">
      <c r="B141" s="28" t="s">
        <v>96</v>
      </c>
      <c r="C141" s="28">
        <v>2023</v>
      </c>
      <c r="D141" s="28" t="s">
        <v>204</v>
      </c>
      <c r="E141" s="28" t="s">
        <v>207</v>
      </c>
      <c r="F141" s="145">
        <v>441713</v>
      </c>
      <c r="G141" s="29"/>
    </row>
    <row r="142" spans="2:7" x14ac:dyDescent="0.2">
      <c r="B142" s="28" t="s">
        <v>96</v>
      </c>
      <c r="C142" s="28">
        <v>2023</v>
      </c>
      <c r="D142" s="28" t="s">
        <v>209</v>
      </c>
      <c r="E142" s="28" t="s">
        <v>207</v>
      </c>
      <c r="F142" s="145">
        <v>438764</v>
      </c>
      <c r="G142" s="29"/>
    </row>
    <row r="143" spans="2:7" x14ac:dyDescent="0.2">
      <c r="B143" s="28" t="s">
        <v>96</v>
      </c>
      <c r="C143" s="28">
        <v>2023</v>
      </c>
      <c r="D143" s="28" t="s">
        <v>205</v>
      </c>
      <c r="E143" s="28" t="s">
        <v>207</v>
      </c>
      <c r="F143" s="145">
        <v>378201</v>
      </c>
      <c r="G143" s="29"/>
    </row>
    <row r="144" spans="2:7" x14ac:dyDescent="0.2">
      <c r="B144" s="28" t="s">
        <v>96</v>
      </c>
      <c r="C144" s="28">
        <v>2023</v>
      </c>
      <c r="D144" s="28" t="s">
        <v>206</v>
      </c>
      <c r="E144" s="28" t="s">
        <v>207</v>
      </c>
      <c r="F144" s="145">
        <v>413519</v>
      </c>
      <c r="G144" s="29"/>
    </row>
    <row r="145" spans="2:7" x14ac:dyDescent="0.2">
      <c r="B145" s="28" t="s">
        <v>96</v>
      </c>
      <c r="C145" s="28">
        <v>2023</v>
      </c>
      <c r="D145" s="28" t="s">
        <v>202</v>
      </c>
      <c r="E145" s="28" t="s">
        <v>208</v>
      </c>
      <c r="F145" s="29">
        <v>516512</v>
      </c>
      <c r="G145" s="29"/>
    </row>
    <row r="146" spans="2:7" x14ac:dyDescent="0.2">
      <c r="B146" s="28" t="s">
        <v>96</v>
      </c>
      <c r="C146" s="28">
        <v>2023</v>
      </c>
      <c r="D146" s="28" t="s">
        <v>203</v>
      </c>
      <c r="E146" s="28" t="s">
        <v>208</v>
      </c>
      <c r="F146" s="29">
        <v>494282</v>
      </c>
      <c r="G146" s="29"/>
    </row>
    <row r="147" spans="2:7" x14ac:dyDescent="0.2">
      <c r="B147" s="28" t="s">
        <v>96</v>
      </c>
      <c r="C147" s="28">
        <v>2023</v>
      </c>
      <c r="D147" s="28" t="s">
        <v>204</v>
      </c>
      <c r="E147" s="28" t="s">
        <v>208</v>
      </c>
      <c r="F147" s="29">
        <v>538958</v>
      </c>
      <c r="G147" s="29"/>
    </row>
    <row r="148" spans="2:7" x14ac:dyDescent="0.2">
      <c r="B148" s="28" t="s">
        <v>96</v>
      </c>
      <c r="C148" s="28">
        <v>2023</v>
      </c>
      <c r="D148" s="28" t="s">
        <v>209</v>
      </c>
      <c r="E148" s="28" t="s">
        <v>208</v>
      </c>
      <c r="F148" s="29">
        <v>502214</v>
      </c>
      <c r="G148" s="29"/>
    </row>
    <row r="149" spans="2:7" x14ac:dyDescent="0.2">
      <c r="B149" s="28" t="s">
        <v>96</v>
      </c>
      <c r="C149" s="28">
        <v>2023</v>
      </c>
      <c r="D149" s="28" t="s">
        <v>205</v>
      </c>
      <c r="E149" s="28" t="s">
        <v>208</v>
      </c>
      <c r="F149" s="29">
        <v>539525</v>
      </c>
      <c r="G149" s="29"/>
    </row>
    <row r="150" spans="2:7" x14ac:dyDescent="0.2">
      <c r="B150" s="28" t="s">
        <v>96</v>
      </c>
      <c r="C150" s="28">
        <v>2023</v>
      </c>
      <c r="D150" s="28" t="s">
        <v>206</v>
      </c>
      <c r="E150" s="28" t="s">
        <v>208</v>
      </c>
      <c r="F150" s="29">
        <v>517806</v>
      </c>
      <c r="G150" s="29"/>
    </row>
    <row r="151" spans="2:7" x14ac:dyDescent="0.2">
      <c r="B151" s="28" t="s">
        <v>92</v>
      </c>
      <c r="C151" s="28">
        <v>2024</v>
      </c>
      <c r="D151" s="28" t="s">
        <v>202</v>
      </c>
      <c r="E151" s="28" t="s">
        <v>93</v>
      </c>
      <c r="F151" s="29">
        <v>625097</v>
      </c>
      <c r="G151" s="29"/>
    </row>
    <row r="152" spans="2:7" x14ac:dyDescent="0.2">
      <c r="B152" s="28" t="s">
        <v>92</v>
      </c>
      <c r="C152" s="28">
        <v>2024</v>
      </c>
      <c r="D152" s="28" t="s">
        <v>203</v>
      </c>
      <c r="E152" s="28" t="s">
        <v>93</v>
      </c>
      <c r="F152" s="29">
        <v>632542</v>
      </c>
      <c r="G152" s="29"/>
    </row>
    <row r="153" spans="2:7" x14ac:dyDescent="0.2">
      <c r="B153" s="28" t="s">
        <v>92</v>
      </c>
      <c r="C153" s="28">
        <v>2024</v>
      </c>
      <c r="D153" s="28" t="s">
        <v>204</v>
      </c>
      <c r="E153" s="28" t="s">
        <v>93</v>
      </c>
      <c r="F153" s="29">
        <v>565957</v>
      </c>
      <c r="G153" s="29"/>
    </row>
    <row r="154" spans="2:7" x14ac:dyDescent="0.2">
      <c r="B154" s="28" t="s">
        <v>92</v>
      </c>
      <c r="C154" s="28">
        <v>2024</v>
      </c>
      <c r="D154" s="28" t="s">
        <v>209</v>
      </c>
      <c r="E154" s="28" t="s">
        <v>93</v>
      </c>
      <c r="F154" s="29">
        <v>609354</v>
      </c>
      <c r="G154" s="29"/>
    </row>
    <row r="155" spans="2:7" x14ac:dyDescent="0.2">
      <c r="B155" s="28" t="s">
        <v>92</v>
      </c>
      <c r="C155" s="28">
        <v>2024</v>
      </c>
      <c r="D155" s="28" t="s">
        <v>205</v>
      </c>
      <c r="E155" s="28" t="s">
        <v>93</v>
      </c>
      <c r="F155" s="29">
        <v>501393</v>
      </c>
      <c r="G155" s="29"/>
    </row>
    <row r="156" spans="2:7" x14ac:dyDescent="0.2">
      <c r="B156" s="28" t="s">
        <v>92</v>
      </c>
      <c r="C156" s="28">
        <v>2024</v>
      </c>
      <c r="D156" s="28" t="s">
        <v>206</v>
      </c>
      <c r="E156" s="28" t="s">
        <v>93</v>
      </c>
      <c r="F156" s="29">
        <v>461281</v>
      </c>
      <c r="G156" s="29"/>
    </row>
    <row r="157" spans="2:7" x14ac:dyDescent="0.2">
      <c r="B157" s="28" t="s">
        <v>92</v>
      </c>
      <c r="C157" s="28">
        <v>2024</v>
      </c>
      <c r="D157" s="28" t="s">
        <v>202</v>
      </c>
      <c r="E157" s="28" t="s">
        <v>207</v>
      </c>
      <c r="F157" s="145">
        <v>476654</v>
      </c>
      <c r="G157" s="29"/>
    </row>
    <row r="158" spans="2:7" x14ac:dyDescent="0.2">
      <c r="B158" s="28" t="s">
        <v>92</v>
      </c>
      <c r="C158" s="28">
        <v>2024</v>
      </c>
      <c r="D158" s="28" t="s">
        <v>203</v>
      </c>
      <c r="E158" s="28" t="s">
        <v>207</v>
      </c>
      <c r="F158" s="145">
        <v>405717</v>
      </c>
      <c r="G158" s="29"/>
    </row>
    <row r="159" spans="2:7" x14ac:dyDescent="0.2">
      <c r="B159" s="28" t="s">
        <v>92</v>
      </c>
      <c r="C159" s="28">
        <v>2024</v>
      </c>
      <c r="D159" s="28" t="s">
        <v>204</v>
      </c>
      <c r="E159" s="28" t="s">
        <v>207</v>
      </c>
      <c r="F159" s="145">
        <v>407780</v>
      </c>
      <c r="G159" s="29"/>
    </row>
    <row r="160" spans="2:7" x14ac:dyDescent="0.2">
      <c r="B160" s="28" t="s">
        <v>92</v>
      </c>
      <c r="C160" s="28">
        <v>2024</v>
      </c>
      <c r="D160" s="28" t="s">
        <v>209</v>
      </c>
      <c r="E160" s="28" t="s">
        <v>207</v>
      </c>
      <c r="F160" s="145">
        <v>462903</v>
      </c>
      <c r="G160" s="29"/>
    </row>
    <row r="161" spans="2:7" x14ac:dyDescent="0.2">
      <c r="B161" s="28" t="s">
        <v>92</v>
      </c>
      <c r="C161" s="28">
        <v>2024</v>
      </c>
      <c r="D161" s="28" t="s">
        <v>205</v>
      </c>
      <c r="E161" s="28" t="s">
        <v>207</v>
      </c>
      <c r="F161" s="145">
        <v>460030</v>
      </c>
      <c r="G161" s="29"/>
    </row>
    <row r="162" spans="2:7" x14ac:dyDescent="0.2">
      <c r="B162" s="28" t="s">
        <v>92</v>
      </c>
      <c r="C162" s="28">
        <v>2024</v>
      </c>
      <c r="D162" s="28" t="s">
        <v>206</v>
      </c>
      <c r="E162" s="28" t="s">
        <v>207</v>
      </c>
      <c r="F162" s="145">
        <v>463982</v>
      </c>
      <c r="G162" s="29"/>
    </row>
    <row r="163" spans="2:7" x14ac:dyDescent="0.2">
      <c r="B163" s="28" t="s">
        <v>92</v>
      </c>
      <c r="C163" s="28">
        <v>2024</v>
      </c>
      <c r="D163" s="28" t="s">
        <v>202</v>
      </c>
      <c r="E163" s="28" t="s">
        <v>208</v>
      </c>
      <c r="F163" s="29">
        <v>622573</v>
      </c>
      <c r="G163" s="29"/>
    </row>
    <row r="164" spans="2:7" x14ac:dyDescent="0.2">
      <c r="B164" s="28" t="s">
        <v>92</v>
      </c>
      <c r="C164" s="28">
        <v>2024</v>
      </c>
      <c r="D164" s="28" t="s">
        <v>203</v>
      </c>
      <c r="E164" s="28" t="s">
        <v>208</v>
      </c>
      <c r="F164" s="29">
        <v>578387</v>
      </c>
      <c r="G164" s="29"/>
    </row>
    <row r="165" spans="2:7" x14ac:dyDescent="0.2">
      <c r="B165" s="28" t="s">
        <v>92</v>
      </c>
      <c r="C165" s="28">
        <v>2024</v>
      </c>
      <c r="D165" s="28" t="s">
        <v>204</v>
      </c>
      <c r="E165" s="28" t="s">
        <v>208</v>
      </c>
      <c r="F165" s="29">
        <v>579998</v>
      </c>
      <c r="G165" s="29"/>
    </row>
    <row r="166" spans="2:7" x14ac:dyDescent="0.2">
      <c r="B166" s="28" t="s">
        <v>92</v>
      </c>
      <c r="C166" s="28">
        <v>2024</v>
      </c>
      <c r="D166" s="28" t="s">
        <v>209</v>
      </c>
      <c r="E166" s="28" t="s">
        <v>208</v>
      </c>
      <c r="F166" s="29">
        <v>594253</v>
      </c>
      <c r="G166" s="29"/>
    </row>
    <row r="167" spans="2:7" x14ac:dyDescent="0.2">
      <c r="B167" s="28" t="s">
        <v>92</v>
      </c>
      <c r="C167" s="28">
        <v>2024</v>
      </c>
      <c r="D167" s="28" t="s">
        <v>205</v>
      </c>
      <c r="E167" s="28" t="s">
        <v>208</v>
      </c>
      <c r="F167" s="29">
        <v>473198</v>
      </c>
      <c r="G167" s="29"/>
    </row>
    <row r="168" spans="2:7" x14ac:dyDescent="0.2">
      <c r="B168" s="28" t="s">
        <v>92</v>
      </c>
      <c r="C168" s="28">
        <v>2024</v>
      </c>
      <c r="D168" s="28" t="s">
        <v>206</v>
      </c>
      <c r="E168" s="28" t="s">
        <v>208</v>
      </c>
      <c r="F168" s="29">
        <v>601406</v>
      </c>
      <c r="G168" s="29"/>
    </row>
    <row r="169" spans="2:7" x14ac:dyDescent="0.2">
      <c r="B169" s="28" t="s">
        <v>94</v>
      </c>
      <c r="C169" s="28">
        <v>2024</v>
      </c>
      <c r="D169" s="28" t="s">
        <v>202</v>
      </c>
      <c r="E169" s="28" t="s">
        <v>93</v>
      </c>
      <c r="F169" s="29">
        <v>616561</v>
      </c>
      <c r="G169" s="29"/>
    </row>
    <row r="170" spans="2:7" x14ac:dyDescent="0.2">
      <c r="B170" s="28" t="s">
        <v>94</v>
      </c>
      <c r="C170" s="28">
        <v>2024</v>
      </c>
      <c r="D170" s="28" t="s">
        <v>203</v>
      </c>
      <c r="E170" s="28" t="s">
        <v>93</v>
      </c>
      <c r="F170" s="29">
        <v>559403</v>
      </c>
      <c r="G170" s="29"/>
    </row>
    <row r="171" spans="2:7" x14ac:dyDescent="0.2">
      <c r="B171" s="28" t="s">
        <v>94</v>
      </c>
      <c r="C171" s="28">
        <v>2024</v>
      </c>
      <c r="D171" s="28" t="s">
        <v>204</v>
      </c>
      <c r="E171" s="28" t="s">
        <v>93</v>
      </c>
      <c r="F171" s="29">
        <v>597369</v>
      </c>
      <c r="G171" s="29"/>
    </row>
    <row r="172" spans="2:7" x14ac:dyDescent="0.2">
      <c r="B172" s="28" t="s">
        <v>94</v>
      </c>
      <c r="C172" s="28">
        <v>2024</v>
      </c>
      <c r="D172" s="28" t="s">
        <v>209</v>
      </c>
      <c r="E172" s="28" t="s">
        <v>93</v>
      </c>
      <c r="F172" s="29">
        <v>709122</v>
      </c>
      <c r="G172" s="29"/>
    </row>
    <row r="173" spans="2:7" x14ac:dyDescent="0.2">
      <c r="B173" s="28" t="s">
        <v>94</v>
      </c>
      <c r="C173" s="28">
        <v>2024</v>
      </c>
      <c r="D173" s="28" t="s">
        <v>205</v>
      </c>
      <c r="E173" s="28" t="s">
        <v>93</v>
      </c>
      <c r="F173" s="29">
        <v>462316</v>
      </c>
      <c r="G173" s="29"/>
    </row>
    <row r="174" spans="2:7" x14ac:dyDescent="0.2">
      <c r="B174" s="28" t="s">
        <v>94</v>
      </c>
      <c r="C174" s="28">
        <v>2024</v>
      </c>
      <c r="D174" s="28" t="s">
        <v>206</v>
      </c>
      <c r="E174" s="28" t="s">
        <v>93</v>
      </c>
      <c r="F174" s="29">
        <v>466554</v>
      </c>
      <c r="G174" s="29"/>
    </row>
    <row r="175" spans="2:7" x14ac:dyDescent="0.2">
      <c r="B175" s="28" t="s">
        <v>94</v>
      </c>
      <c r="C175" s="28">
        <v>2024</v>
      </c>
      <c r="D175" s="28" t="s">
        <v>202</v>
      </c>
      <c r="E175" s="28" t="s">
        <v>207</v>
      </c>
      <c r="F175" s="145">
        <v>380338</v>
      </c>
      <c r="G175" s="29"/>
    </row>
    <row r="176" spans="2:7" x14ac:dyDescent="0.2">
      <c r="B176" s="28" t="s">
        <v>94</v>
      </c>
      <c r="C176" s="28">
        <v>2024</v>
      </c>
      <c r="D176" s="28" t="s">
        <v>203</v>
      </c>
      <c r="E176" s="28" t="s">
        <v>207</v>
      </c>
      <c r="F176" s="145">
        <v>406420</v>
      </c>
      <c r="G176" s="29"/>
    </row>
    <row r="177" spans="2:7" x14ac:dyDescent="0.2">
      <c r="B177" s="28" t="s">
        <v>94</v>
      </c>
      <c r="C177" s="28">
        <v>2024</v>
      </c>
      <c r="D177" s="28" t="s">
        <v>204</v>
      </c>
      <c r="E177" s="28" t="s">
        <v>207</v>
      </c>
      <c r="F177" s="145">
        <v>422373</v>
      </c>
      <c r="G177" s="29"/>
    </row>
    <row r="178" spans="2:7" x14ac:dyDescent="0.2">
      <c r="B178" s="28" t="s">
        <v>94</v>
      </c>
      <c r="C178" s="28">
        <v>2024</v>
      </c>
      <c r="D178" s="28" t="s">
        <v>209</v>
      </c>
      <c r="E178" s="28" t="s">
        <v>207</v>
      </c>
      <c r="F178" s="145">
        <v>385923</v>
      </c>
      <c r="G178" s="29"/>
    </row>
    <row r="179" spans="2:7" x14ac:dyDescent="0.2">
      <c r="B179" s="28" t="s">
        <v>94</v>
      </c>
      <c r="C179" s="28">
        <v>2024</v>
      </c>
      <c r="D179" s="28" t="s">
        <v>205</v>
      </c>
      <c r="E179" s="28" t="s">
        <v>207</v>
      </c>
      <c r="F179" s="145">
        <v>474148</v>
      </c>
      <c r="G179" s="29"/>
    </row>
    <row r="180" spans="2:7" x14ac:dyDescent="0.2">
      <c r="B180" s="28" t="s">
        <v>94</v>
      </c>
      <c r="C180" s="28">
        <v>2024</v>
      </c>
      <c r="D180" s="28" t="s">
        <v>206</v>
      </c>
      <c r="E180" s="28" t="s">
        <v>207</v>
      </c>
      <c r="F180" s="145">
        <v>438409</v>
      </c>
      <c r="G180" s="29"/>
    </row>
    <row r="181" spans="2:7" x14ac:dyDescent="0.2">
      <c r="B181" s="28" t="s">
        <v>94</v>
      </c>
      <c r="C181" s="28">
        <v>2024</v>
      </c>
      <c r="D181" s="28" t="s">
        <v>202</v>
      </c>
      <c r="E181" s="28" t="s">
        <v>208</v>
      </c>
      <c r="F181" s="29">
        <v>554317</v>
      </c>
      <c r="G181" s="29"/>
    </row>
    <row r="182" spans="2:7" x14ac:dyDescent="0.2">
      <c r="B182" s="28" t="s">
        <v>94</v>
      </c>
      <c r="C182" s="28">
        <v>2024</v>
      </c>
      <c r="D182" s="28" t="s">
        <v>203</v>
      </c>
      <c r="E182" s="28" t="s">
        <v>208</v>
      </c>
      <c r="F182" s="29">
        <v>609069</v>
      </c>
      <c r="G182" s="29"/>
    </row>
    <row r="183" spans="2:7" x14ac:dyDescent="0.2">
      <c r="B183" s="28" t="s">
        <v>94</v>
      </c>
      <c r="C183" s="28">
        <v>2024</v>
      </c>
      <c r="D183" s="28" t="s">
        <v>204</v>
      </c>
      <c r="E183" s="28" t="s">
        <v>208</v>
      </c>
      <c r="F183" s="29">
        <v>563406</v>
      </c>
      <c r="G183" s="29"/>
    </row>
    <row r="184" spans="2:7" x14ac:dyDescent="0.2">
      <c r="B184" s="28" t="s">
        <v>94</v>
      </c>
      <c r="C184" s="28">
        <v>2024</v>
      </c>
      <c r="D184" s="28" t="s">
        <v>209</v>
      </c>
      <c r="E184" s="28" t="s">
        <v>208</v>
      </c>
      <c r="F184" s="29">
        <v>606490</v>
      </c>
      <c r="G184" s="29"/>
    </row>
    <row r="185" spans="2:7" x14ac:dyDescent="0.2">
      <c r="B185" s="28" t="s">
        <v>94</v>
      </c>
      <c r="C185" s="28">
        <v>2024</v>
      </c>
      <c r="D185" s="28" t="s">
        <v>205</v>
      </c>
      <c r="E185" s="28" t="s">
        <v>208</v>
      </c>
      <c r="F185" s="29">
        <v>564560</v>
      </c>
      <c r="G185" s="29"/>
    </row>
    <row r="186" spans="2:7" x14ac:dyDescent="0.2">
      <c r="B186" s="28" t="s">
        <v>94</v>
      </c>
      <c r="C186" s="28">
        <v>2024</v>
      </c>
      <c r="D186" s="28" t="s">
        <v>206</v>
      </c>
      <c r="E186" s="28" t="s">
        <v>208</v>
      </c>
      <c r="F186" s="29">
        <v>600194</v>
      </c>
      <c r="G186" s="29"/>
    </row>
    <row r="187" spans="2:7" x14ac:dyDescent="0.2">
      <c r="B187" s="28" t="s">
        <v>95</v>
      </c>
      <c r="C187" s="28">
        <v>2024</v>
      </c>
      <c r="D187" s="28" t="s">
        <v>202</v>
      </c>
      <c r="E187" s="28" t="s">
        <v>93</v>
      </c>
      <c r="F187" s="29">
        <v>549802</v>
      </c>
      <c r="G187" s="29"/>
    </row>
    <row r="188" spans="2:7" x14ac:dyDescent="0.2">
      <c r="B188" s="28" t="s">
        <v>95</v>
      </c>
      <c r="C188" s="28">
        <v>2024</v>
      </c>
      <c r="D188" s="28" t="s">
        <v>203</v>
      </c>
      <c r="E188" s="28" t="s">
        <v>93</v>
      </c>
      <c r="F188" s="29">
        <v>493119</v>
      </c>
      <c r="G188" s="29"/>
    </row>
    <row r="189" spans="2:7" x14ac:dyDescent="0.2">
      <c r="B189" s="28" t="s">
        <v>95</v>
      </c>
      <c r="C189" s="28">
        <v>2024</v>
      </c>
      <c r="D189" s="28" t="s">
        <v>204</v>
      </c>
      <c r="E189" s="28" t="s">
        <v>93</v>
      </c>
      <c r="F189" s="29">
        <v>576355</v>
      </c>
      <c r="G189" s="29"/>
    </row>
    <row r="190" spans="2:7" x14ac:dyDescent="0.2">
      <c r="B190" s="28" t="s">
        <v>95</v>
      </c>
      <c r="C190" s="28">
        <v>2024</v>
      </c>
      <c r="D190" s="28" t="s">
        <v>209</v>
      </c>
      <c r="E190" s="28" t="s">
        <v>93</v>
      </c>
      <c r="F190" s="29">
        <v>670233</v>
      </c>
      <c r="G190" s="29"/>
    </row>
    <row r="191" spans="2:7" x14ac:dyDescent="0.2">
      <c r="B191" s="28" t="s">
        <v>95</v>
      </c>
      <c r="C191" s="28">
        <v>2024</v>
      </c>
      <c r="D191" s="28" t="s">
        <v>205</v>
      </c>
      <c r="E191" s="28" t="s">
        <v>93</v>
      </c>
      <c r="F191" s="29">
        <v>524001</v>
      </c>
      <c r="G191" s="29"/>
    </row>
    <row r="192" spans="2:7" x14ac:dyDescent="0.2">
      <c r="B192" s="28" t="s">
        <v>95</v>
      </c>
      <c r="C192" s="28">
        <v>2024</v>
      </c>
      <c r="D192" s="28" t="s">
        <v>206</v>
      </c>
      <c r="E192" s="28" t="s">
        <v>93</v>
      </c>
      <c r="F192" s="29">
        <v>527703</v>
      </c>
      <c r="G192" s="29"/>
    </row>
    <row r="193" spans="2:7" x14ac:dyDescent="0.2">
      <c r="B193" s="28" t="s">
        <v>95</v>
      </c>
      <c r="C193" s="28">
        <v>2024</v>
      </c>
      <c r="D193" s="28" t="s">
        <v>202</v>
      </c>
      <c r="E193" s="28" t="s">
        <v>207</v>
      </c>
      <c r="F193" s="145">
        <v>355197</v>
      </c>
      <c r="G193" s="29"/>
    </row>
    <row r="194" spans="2:7" x14ac:dyDescent="0.2">
      <c r="B194" s="28" t="s">
        <v>95</v>
      </c>
      <c r="C194" s="28">
        <v>2024</v>
      </c>
      <c r="D194" s="28" t="s">
        <v>203</v>
      </c>
      <c r="E194" s="28" t="s">
        <v>207</v>
      </c>
      <c r="F194" s="145">
        <v>420947</v>
      </c>
      <c r="G194" s="29"/>
    </row>
    <row r="195" spans="2:7" x14ac:dyDescent="0.2">
      <c r="B195" s="28" t="s">
        <v>95</v>
      </c>
      <c r="C195" s="28">
        <v>2024</v>
      </c>
      <c r="D195" s="28" t="s">
        <v>204</v>
      </c>
      <c r="E195" s="28" t="s">
        <v>207</v>
      </c>
      <c r="F195" s="145">
        <v>423393</v>
      </c>
      <c r="G195" s="29"/>
    </row>
    <row r="196" spans="2:7" x14ac:dyDescent="0.2">
      <c r="B196" s="28" t="s">
        <v>95</v>
      </c>
      <c r="C196" s="28">
        <v>2024</v>
      </c>
      <c r="D196" s="28" t="s">
        <v>209</v>
      </c>
      <c r="E196" s="28" t="s">
        <v>207</v>
      </c>
      <c r="F196" s="145">
        <v>547726</v>
      </c>
      <c r="G196" s="29"/>
    </row>
    <row r="197" spans="2:7" x14ac:dyDescent="0.2">
      <c r="B197" s="28" t="s">
        <v>95</v>
      </c>
      <c r="C197" s="28">
        <v>2024</v>
      </c>
      <c r="D197" s="28" t="s">
        <v>205</v>
      </c>
      <c r="E197" s="28" t="s">
        <v>207</v>
      </c>
      <c r="F197" s="145">
        <v>478507</v>
      </c>
      <c r="G197" s="29"/>
    </row>
    <row r="198" spans="2:7" x14ac:dyDescent="0.2">
      <c r="B198" s="28" t="s">
        <v>95</v>
      </c>
      <c r="C198" s="28">
        <v>2024</v>
      </c>
      <c r="D198" s="28" t="s">
        <v>206</v>
      </c>
      <c r="E198" s="28" t="s">
        <v>207</v>
      </c>
      <c r="F198" s="145">
        <v>425549</v>
      </c>
      <c r="G198" s="29"/>
    </row>
    <row r="199" spans="2:7" x14ac:dyDescent="0.2">
      <c r="B199" s="28" t="s">
        <v>95</v>
      </c>
      <c r="C199" s="28">
        <v>2024</v>
      </c>
      <c r="D199" s="28" t="s">
        <v>202</v>
      </c>
      <c r="E199" s="28" t="s">
        <v>208</v>
      </c>
      <c r="F199" s="29">
        <v>618631</v>
      </c>
      <c r="G199" s="29"/>
    </row>
    <row r="200" spans="2:7" x14ac:dyDescent="0.2">
      <c r="B200" s="28" t="s">
        <v>95</v>
      </c>
      <c r="C200" s="28">
        <v>2024</v>
      </c>
      <c r="D200" s="28" t="s">
        <v>203</v>
      </c>
      <c r="E200" s="28" t="s">
        <v>208</v>
      </c>
      <c r="F200" s="29">
        <v>593074</v>
      </c>
      <c r="G200" s="29"/>
    </row>
    <row r="201" spans="2:7" x14ac:dyDescent="0.2">
      <c r="B201" s="28" t="s">
        <v>95</v>
      </c>
      <c r="C201" s="28">
        <v>2024</v>
      </c>
      <c r="D201" s="28" t="s">
        <v>204</v>
      </c>
      <c r="E201" s="28" t="s">
        <v>208</v>
      </c>
      <c r="F201" s="29">
        <v>708115</v>
      </c>
      <c r="G201" s="29"/>
    </row>
    <row r="202" spans="2:7" x14ac:dyDescent="0.2">
      <c r="B202" s="28" t="s">
        <v>95</v>
      </c>
      <c r="C202" s="28">
        <v>2024</v>
      </c>
      <c r="D202" s="28" t="s">
        <v>209</v>
      </c>
      <c r="E202" s="28" t="s">
        <v>208</v>
      </c>
      <c r="F202" s="29">
        <v>657230</v>
      </c>
      <c r="G202" s="29"/>
    </row>
    <row r="203" spans="2:7" x14ac:dyDescent="0.2">
      <c r="B203" s="28" t="s">
        <v>95</v>
      </c>
      <c r="C203" s="28">
        <v>2024</v>
      </c>
      <c r="D203" s="28" t="s">
        <v>205</v>
      </c>
      <c r="E203" s="28" t="s">
        <v>208</v>
      </c>
      <c r="F203" s="29">
        <v>636020</v>
      </c>
      <c r="G203" s="29"/>
    </row>
    <row r="204" spans="2:7" x14ac:dyDescent="0.2">
      <c r="B204" s="28" t="s">
        <v>95</v>
      </c>
      <c r="C204" s="28">
        <v>2024</v>
      </c>
      <c r="D204" s="28" t="s">
        <v>206</v>
      </c>
      <c r="E204" s="28" t="s">
        <v>208</v>
      </c>
      <c r="F204" s="29">
        <v>648918</v>
      </c>
      <c r="G204" s="29"/>
    </row>
    <row r="205" spans="2:7" x14ac:dyDescent="0.2">
      <c r="B205" s="28" t="s">
        <v>96</v>
      </c>
      <c r="C205" s="28">
        <v>2024</v>
      </c>
      <c r="D205" s="28" t="s">
        <v>202</v>
      </c>
      <c r="E205" s="28" t="s">
        <v>93</v>
      </c>
      <c r="F205" s="29">
        <v>508848</v>
      </c>
    </row>
    <row r="206" spans="2:7" x14ac:dyDescent="0.2">
      <c r="B206" s="28" t="s">
        <v>96</v>
      </c>
      <c r="C206" s="28">
        <v>2024</v>
      </c>
      <c r="D206" s="28" t="s">
        <v>203</v>
      </c>
      <c r="E206" s="28" t="s">
        <v>93</v>
      </c>
      <c r="F206" s="29">
        <v>522433</v>
      </c>
    </row>
    <row r="207" spans="2:7" x14ac:dyDescent="0.2">
      <c r="B207" s="28" t="s">
        <v>96</v>
      </c>
      <c r="C207" s="28">
        <v>2024</v>
      </c>
      <c r="D207" s="28" t="s">
        <v>204</v>
      </c>
      <c r="E207" s="28" t="s">
        <v>93</v>
      </c>
      <c r="F207" s="29">
        <v>526729</v>
      </c>
    </row>
    <row r="208" spans="2:7" x14ac:dyDescent="0.2">
      <c r="B208" s="28" t="s">
        <v>96</v>
      </c>
      <c r="C208" s="28">
        <v>2024</v>
      </c>
      <c r="D208" s="28" t="s">
        <v>209</v>
      </c>
      <c r="E208" s="28" t="s">
        <v>93</v>
      </c>
      <c r="F208" s="29">
        <v>504010</v>
      </c>
    </row>
    <row r="209" spans="2:6" x14ac:dyDescent="0.2">
      <c r="B209" s="28" t="s">
        <v>96</v>
      </c>
      <c r="C209" s="28">
        <v>2024</v>
      </c>
      <c r="D209" s="28" t="s">
        <v>205</v>
      </c>
      <c r="E209" s="28" t="s">
        <v>93</v>
      </c>
      <c r="F209" s="29">
        <v>426401</v>
      </c>
    </row>
    <row r="210" spans="2:6" x14ac:dyDescent="0.2">
      <c r="B210" s="28" t="s">
        <v>96</v>
      </c>
      <c r="C210" s="28">
        <v>2024</v>
      </c>
      <c r="D210" s="28" t="s">
        <v>206</v>
      </c>
      <c r="E210" s="28" t="s">
        <v>93</v>
      </c>
      <c r="F210" s="29">
        <v>430903</v>
      </c>
    </row>
    <row r="211" spans="2:6" x14ac:dyDescent="0.2">
      <c r="B211" s="28" t="s">
        <v>96</v>
      </c>
      <c r="C211" s="28">
        <v>2024</v>
      </c>
      <c r="D211" s="28" t="s">
        <v>202</v>
      </c>
      <c r="E211" s="28" t="s">
        <v>207</v>
      </c>
      <c r="F211" s="145">
        <v>319614</v>
      </c>
    </row>
    <row r="212" spans="2:6" x14ac:dyDescent="0.2">
      <c r="B212" s="28" t="s">
        <v>96</v>
      </c>
      <c r="C212" s="28">
        <v>2024</v>
      </c>
      <c r="D212" s="28" t="s">
        <v>203</v>
      </c>
      <c r="E212" s="28" t="s">
        <v>207</v>
      </c>
      <c r="F212" s="145">
        <v>417155</v>
      </c>
    </row>
    <row r="213" spans="2:6" x14ac:dyDescent="0.2">
      <c r="B213" s="28" t="s">
        <v>96</v>
      </c>
      <c r="C213" s="28">
        <v>2024</v>
      </c>
      <c r="D213" s="28" t="s">
        <v>204</v>
      </c>
      <c r="E213" s="28" t="s">
        <v>207</v>
      </c>
      <c r="F213" s="145">
        <v>395381</v>
      </c>
    </row>
    <row r="214" spans="2:6" x14ac:dyDescent="0.2">
      <c r="B214" s="28" t="s">
        <v>96</v>
      </c>
      <c r="C214" s="28">
        <v>2024</v>
      </c>
      <c r="D214" s="28" t="s">
        <v>209</v>
      </c>
      <c r="E214" s="28" t="s">
        <v>207</v>
      </c>
      <c r="F214" s="145">
        <v>385921</v>
      </c>
    </row>
    <row r="215" spans="2:6" x14ac:dyDescent="0.2">
      <c r="B215" s="28" t="s">
        <v>96</v>
      </c>
      <c r="C215" s="28">
        <v>2024</v>
      </c>
      <c r="D215" s="28" t="s">
        <v>205</v>
      </c>
      <c r="E215" s="28" t="s">
        <v>207</v>
      </c>
      <c r="F215" s="145">
        <v>349157</v>
      </c>
    </row>
    <row r="216" spans="2:6" x14ac:dyDescent="0.2">
      <c r="B216" s="28" t="s">
        <v>96</v>
      </c>
      <c r="C216" s="28">
        <v>2024</v>
      </c>
      <c r="D216" s="28" t="s">
        <v>206</v>
      </c>
      <c r="E216" s="28" t="s">
        <v>207</v>
      </c>
      <c r="F216" s="145">
        <v>375737</v>
      </c>
    </row>
    <row r="217" spans="2:6" x14ac:dyDescent="0.2">
      <c r="B217" s="28" t="s">
        <v>96</v>
      </c>
      <c r="C217" s="28">
        <v>2024</v>
      </c>
      <c r="D217" s="28" t="s">
        <v>202</v>
      </c>
      <c r="E217" s="28" t="s">
        <v>208</v>
      </c>
      <c r="F217" s="29">
        <v>528322</v>
      </c>
    </row>
    <row r="218" spans="2:6" x14ac:dyDescent="0.2">
      <c r="B218" s="28" t="s">
        <v>96</v>
      </c>
      <c r="C218" s="28">
        <v>2024</v>
      </c>
      <c r="D218" s="28" t="s">
        <v>203</v>
      </c>
      <c r="E218" s="28" t="s">
        <v>208</v>
      </c>
      <c r="F218" s="29">
        <v>497798</v>
      </c>
    </row>
    <row r="219" spans="2:6" x14ac:dyDescent="0.2">
      <c r="B219" s="28" t="s">
        <v>96</v>
      </c>
      <c r="C219" s="28">
        <v>2024</v>
      </c>
      <c r="D219" s="28" t="s">
        <v>204</v>
      </c>
      <c r="E219" s="28" t="s">
        <v>208</v>
      </c>
      <c r="F219" s="29">
        <v>515122</v>
      </c>
    </row>
    <row r="220" spans="2:6" x14ac:dyDescent="0.2">
      <c r="B220" s="28" t="s">
        <v>96</v>
      </c>
      <c r="C220" s="28">
        <v>2024</v>
      </c>
      <c r="D220" s="28" t="s">
        <v>209</v>
      </c>
      <c r="E220" s="28" t="s">
        <v>208</v>
      </c>
      <c r="F220" s="29">
        <v>501404</v>
      </c>
    </row>
    <row r="221" spans="2:6" x14ac:dyDescent="0.2">
      <c r="B221" s="28" t="s">
        <v>96</v>
      </c>
      <c r="C221" s="28">
        <v>2024</v>
      </c>
      <c r="D221" s="28" t="s">
        <v>205</v>
      </c>
      <c r="E221" s="28" t="s">
        <v>208</v>
      </c>
      <c r="F221" s="29">
        <v>518350</v>
      </c>
    </row>
    <row r="222" spans="2:6" x14ac:dyDescent="0.2">
      <c r="B222" s="28" t="s">
        <v>96</v>
      </c>
      <c r="C222" s="28">
        <v>2024</v>
      </c>
      <c r="D222" s="28" t="s">
        <v>206</v>
      </c>
      <c r="E222" s="28" t="s">
        <v>208</v>
      </c>
      <c r="F222" s="29">
        <v>445582</v>
      </c>
    </row>
  </sheetData>
  <phoneticPr fontId="8"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2C038-6E5A-4770-B476-05D9E70C51BB}">
  <dimension ref="B2:F62"/>
  <sheetViews>
    <sheetView tabSelected="1" workbookViewId="0">
      <selection activeCell="M30" sqref="M30"/>
    </sheetView>
  </sheetViews>
  <sheetFormatPr defaultColWidth="8.75" defaultRowHeight="14.25" x14ac:dyDescent="0.2"/>
  <cols>
    <col min="1" max="2" width="8.75" style="117"/>
    <col min="3" max="3" width="49.375" style="146" customWidth="1"/>
    <col min="4" max="4" width="10.75" style="117" customWidth="1"/>
    <col min="5" max="5" width="11.25" style="117" customWidth="1"/>
    <col min="6" max="6" width="23.875" style="117" customWidth="1"/>
    <col min="7" max="16384" width="8.75" style="117"/>
  </cols>
  <sheetData>
    <row r="2" spans="2:6" ht="15.75" x14ac:dyDescent="0.25">
      <c r="B2" s="116" t="s">
        <v>210</v>
      </c>
    </row>
    <row r="4" spans="2:6" ht="15.75" x14ac:dyDescent="0.25">
      <c r="B4" s="112" t="s">
        <v>138</v>
      </c>
    </row>
    <row r="6" spans="2:6" ht="26.25" thickBot="1" x14ac:dyDescent="0.25">
      <c r="B6" s="118"/>
      <c r="C6" s="147" t="s">
        <v>113</v>
      </c>
      <c r="D6" s="119" t="s">
        <v>114</v>
      </c>
      <c r="E6" s="119" t="s">
        <v>115</v>
      </c>
      <c r="F6" s="119" t="s">
        <v>116</v>
      </c>
    </row>
    <row r="7" spans="2:6" x14ac:dyDescent="0.2">
      <c r="D7" s="120"/>
      <c r="E7" s="120"/>
      <c r="F7" s="121"/>
    </row>
    <row r="8" spans="2:6" ht="12.75" x14ac:dyDescent="0.2">
      <c r="B8" s="121"/>
      <c r="C8" s="148" t="s">
        <v>179</v>
      </c>
      <c r="D8" s="122"/>
      <c r="E8" s="122"/>
      <c r="F8" s="123"/>
    </row>
    <row r="9" spans="2:6" x14ac:dyDescent="0.2">
      <c r="B9" s="121"/>
      <c r="C9" s="149" t="s">
        <v>117</v>
      </c>
      <c r="D9" s="124">
        <v>2</v>
      </c>
      <c r="E9" s="125"/>
      <c r="F9" s="126"/>
    </row>
    <row r="10" spans="2:6" x14ac:dyDescent="0.2">
      <c r="B10" s="121"/>
      <c r="C10" s="149" t="s">
        <v>118</v>
      </c>
      <c r="D10" s="124">
        <v>2</v>
      </c>
      <c r="E10" s="125"/>
      <c r="F10" s="126"/>
    </row>
    <row r="11" spans="2:6" x14ac:dyDescent="0.2">
      <c r="B11" s="121"/>
      <c r="C11" s="149" t="s">
        <v>119</v>
      </c>
      <c r="D11" s="124">
        <v>1</v>
      </c>
      <c r="E11" s="125"/>
      <c r="F11" s="126"/>
    </row>
    <row r="12" spans="2:6" ht="12.75" x14ac:dyDescent="0.2">
      <c r="B12" s="121"/>
      <c r="C12" s="150" t="s">
        <v>120</v>
      </c>
      <c r="D12" s="124"/>
      <c r="E12" s="125"/>
      <c r="F12" s="126"/>
    </row>
    <row r="13" spans="2:6" ht="12.75" x14ac:dyDescent="0.2">
      <c r="B13" s="121"/>
      <c r="C13" s="150" t="s">
        <v>121</v>
      </c>
      <c r="D13" s="124"/>
      <c r="E13" s="125"/>
      <c r="F13" s="126"/>
    </row>
    <row r="14" spans="2:6" x14ac:dyDescent="0.2">
      <c r="B14" s="121"/>
      <c r="C14" s="149"/>
      <c r="D14" s="124"/>
      <c r="E14" s="125"/>
      <c r="F14" s="126"/>
    </row>
    <row r="15" spans="2:6" ht="12.75" x14ac:dyDescent="0.2">
      <c r="B15" s="121"/>
      <c r="C15" s="148" t="s">
        <v>180</v>
      </c>
      <c r="D15" s="124"/>
      <c r="E15" s="125"/>
      <c r="F15" s="126"/>
    </row>
    <row r="16" spans="2:6" x14ac:dyDescent="0.2">
      <c r="B16" s="121"/>
      <c r="C16" s="149" t="s">
        <v>122</v>
      </c>
      <c r="D16" s="124">
        <v>2</v>
      </c>
      <c r="E16" s="125"/>
      <c r="F16" s="126"/>
    </row>
    <row r="17" spans="2:6" x14ac:dyDescent="0.2">
      <c r="B17" s="121"/>
      <c r="C17" s="149" t="s">
        <v>123</v>
      </c>
      <c r="D17" s="124">
        <v>2</v>
      </c>
      <c r="E17" s="125"/>
      <c r="F17" s="126"/>
    </row>
    <row r="18" spans="2:6" x14ac:dyDescent="0.2">
      <c r="B18" s="121"/>
      <c r="C18" s="149"/>
      <c r="D18" s="124"/>
      <c r="E18" s="125"/>
      <c r="F18" s="126"/>
    </row>
    <row r="19" spans="2:6" ht="12.75" x14ac:dyDescent="0.2">
      <c r="B19" s="121"/>
      <c r="C19" s="148" t="s">
        <v>181</v>
      </c>
      <c r="D19" s="124"/>
      <c r="E19" s="125"/>
      <c r="F19" s="126"/>
    </row>
    <row r="20" spans="2:6" x14ac:dyDescent="0.2">
      <c r="B20" s="121"/>
      <c r="C20" s="149" t="s">
        <v>124</v>
      </c>
      <c r="D20" s="124">
        <v>0.5</v>
      </c>
      <c r="E20" s="125"/>
      <c r="F20" s="126"/>
    </row>
    <row r="21" spans="2:6" x14ac:dyDescent="0.2">
      <c r="B21" s="121"/>
      <c r="C21" s="149" t="s">
        <v>125</v>
      </c>
      <c r="D21" s="124">
        <v>0.5</v>
      </c>
      <c r="E21" s="125"/>
      <c r="F21" s="126"/>
    </row>
    <row r="22" spans="2:6" x14ac:dyDescent="0.2">
      <c r="B22" s="121"/>
      <c r="C22" s="149"/>
      <c r="D22" s="124"/>
      <c r="E22" s="125"/>
      <c r="F22" s="126"/>
    </row>
    <row r="23" spans="2:6" ht="12.75" x14ac:dyDescent="0.2">
      <c r="B23" s="121"/>
      <c r="C23" s="148" t="s">
        <v>182</v>
      </c>
      <c r="D23" s="124"/>
      <c r="E23" s="125"/>
      <c r="F23" s="126"/>
    </row>
    <row r="24" spans="2:6" ht="12.75" x14ac:dyDescent="0.2">
      <c r="B24" s="121"/>
      <c r="C24" s="151" t="s">
        <v>126</v>
      </c>
      <c r="D24" s="124"/>
      <c r="E24" s="125"/>
      <c r="F24" s="126"/>
    </row>
    <row r="25" spans="2:6" x14ac:dyDescent="0.2">
      <c r="B25" s="121"/>
      <c r="C25" s="149" t="s">
        <v>211</v>
      </c>
      <c r="D25" s="124">
        <v>2</v>
      </c>
      <c r="E25" s="125"/>
      <c r="F25" s="126"/>
    </row>
    <row r="26" spans="2:6" x14ac:dyDescent="0.2">
      <c r="B26" s="121"/>
      <c r="C26" s="149" t="s">
        <v>127</v>
      </c>
      <c r="D26" s="124">
        <v>2</v>
      </c>
      <c r="E26" s="125"/>
      <c r="F26" s="126"/>
    </row>
    <row r="27" spans="2:6" x14ac:dyDescent="0.2">
      <c r="B27" s="121"/>
      <c r="C27" s="149"/>
      <c r="D27" s="124"/>
      <c r="E27" s="125"/>
      <c r="F27" s="126"/>
    </row>
    <row r="28" spans="2:6" ht="12.75" x14ac:dyDescent="0.2">
      <c r="B28" s="121"/>
      <c r="C28" s="148" t="s">
        <v>183</v>
      </c>
      <c r="D28" s="124"/>
      <c r="E28" s="125"/>
      <c r="F28" s="126"/>
    </row>
    <row r="29" spans="2:6" x14ac:dyDescent="0.2">
      <c r="B29" s="121"/>
      <c r="C29" s="149" t="s">
        <v>216</v>
      </c>
      <c r="D29" s="124">
        <v>1</v>
      </c>
      <c r="E29" s="125"/>
      <c r="F29" s="126"/>
    </row>
    <row r="30" spans="2:6" x14ac:dyDescent="0.2">
      <c r="B30" s="121"/>
      <c r="C30" s="149" t="s">
        <v>128</v>
      </c>
      <c r="D30" s="124">
        <v>1</v>
      </c>
      <c r="E30" s="125"/>
      <c r="F30" s="126"/>
    </row>
    <row r="31" spans="2:6" x14ac:dyDescent="0.2">
      <c r="B31" s="121"/>
      <c r="C31" s="149" t="s">
        <v>129</v>
      </c>
      <c r="D31" s="124">
        <v>1</v>
      </c>
      <c r="E31" s="125"/>
      <c r="F31" s="126"/>
    </row>
    <row r="32" spans="2:6" x14ac:dyDescent="0.2">
      <c r="B32" s="121"/>
      <c r="C32" s="149"/>
      <c r="D32" s="124"/>
      <c r="E32" s="125"/>
      <c r="F32" s="126"/>
    </row>
    <row r="33" spans="2:6" x14ac:dyDescent="0.2">
      <c r="B33" s="121"/>
      <c r="C33" s="149"/>
      <c r="D33" s="124"/>
      <c r="E33" s="125"/>
      <c r="F33" s="126"/>
    </row>
    <row r="34" spans="2:6" ht="12.75" x14ac:dyDescent="0.2">
      <c r="B34" s="121"/>
      <c r="C34" s="148" t="s">
        <v>184</v>
      </c>
      <c r="D34" s="124"/>
      <c r="E34" s="125"/>
      <c r="F34" s="126"/>
    </row>
    <row r="35" spans="2:6" x14ac:dyDescent="0.2">
      <c r="B35" s="121"/>
      <c r="C35" s="149" t="s">
        <v>158</v>
      </c>
      <c r="D35" s="124">
        <v>1</v>
      </c>
      <c r="E35" s="125"/>
      <c r="F35" s="126"/>
    </row>
    <row r="36" spans="2:6" x14ac:dyDescent="0.2">
      <c r="B36" s="121"/>
      <c r="C36" s="149" t="s">
        <v>159</v>
      </c>
      <c r="D36" s="124">
        <v>1</v>
      </c>
      <c r="E36" s="125"/>
      <c r="F36" s="126"/>
    </row>
    <row r="37" spans="2:6" x14ac:dyDescent="0.2">
      <c r="B37" s="121"/>
      <c r="C37" s="149" t="s">
        <v>160</v>
      </c>
      <c r="D37" s="124"/>
      <c r="E37" s="125"/>
      <c r="F37" s="126"/>
    </row>
    <row r="38" spans="2:6" x14ac:dyDescent="0.2">
      <c r="B38" s="121"/>
      <c r="C38" s="149"/>
      <c r="D38" s="124"/>
      <c r="E38" s="125"/>
      <c r="F38" s="126"/>
    </row>
    <row r="39" spans="2:6" x14ac:dyDescent="0.2">
      <c r="B39" s="121"/>
      <c r="C39" s="149"/>
      <c r="D39" s="124"/>
      <c r="E39" s="125"/>
      <c r="F39" s="126"/>
    </row>
    <row r="40" spans="2:6" ht="12.75" x14ac:dyDescent="0.2">
      <c r="B40" s="121"/>
      <c r="C40" s="148" t="s">
        <v>197</v>
      </c>
      <c r="D40" s="124"/>
      <c r="E40" s="125"/>
      <c r="F40" s="126"/>
    </row>
    <row r="41" spans="2:6" x14ac:dyDescent="0.2">
      <c r="B41" s="121"/>
      <c r="C41" s="149" t="s">
        <v>130</v>
      </c>
      <c r="D41" s="124">
        <v>4</v>
      </c>
      <c r="E41" s="125"/>
      <c r="F41" s="126"/>
    </row>
    <row r="42" spans="2:6" x14ac:dyDescent="0.2">
      <c r="B42" s="121"/>
      <c r="C42" s="149" t="s">
        <v>131</v>
      </c>
      <c r="D42" s="124"/>
      <c r="E42" s="125"/>
      <c r="F42" s="126"/>
    </row>
    <row r="43" spans="2:6" x14ac:dyDescent="0.2">
      <c r="B43" s="121"/>
      <c r="C43" s="149" t="s">
        <v>175</v>
      </c>
      <c r="D43" s="124"/>
      <c r="E43" s="125"/>
      <c r="F43" s="126"/>
    </row>
    <row r="44" spans="2:6" x14ac:dyDescent="0.2">
      <c r="B44" s="121"/>
      <c r="C44" s="149"/>
      <c r="D44" s="124"/>
      <c r="E44" s="125"/>
      <c r="F44" s="126"/>
    </row>
    <row r="45" spans="2:6" x14ac:dyDescent="0.2">
      <c r="B45" s="121"/>
      <c r="C45" s="149" t="s">
        <v>132</v>
      </c>
      <c r="D45" s="124">
        <v>4</v>
      </c>
      <c r="E45" s="125"/>
      <c r="F45" s="126"/>
    </row>
    <row r="46" spans="2:6" x14ac:dyDescent="0.2">
      <c r="B46" s="121"/>
      <c r="C46" s="149" t="s">
        <v>133</v>
      </c>
      <c r="D46" s="124"/>
      <c r="E46" s="125"/>
      <c r="F46" s="126"/>
    </row>
    <row r="47" spans="2:6" x14ac:dyDescent="0.2">
      <c r="B47" s="121"/>
      <c r="C47" s="149" t="s">
        <v>134</v>
      </c>
      <c r="D47" s="124"/>
      <c r="E47" s="125"/>
      <c r="F47" s="126"/>
    </row>
    <row r="48" spans="2:6" x14ac:dyDescent="0.2">
      <c r="B48" s="121"/>
      <c r="C48" s="149"/>
      <c r="D48" s="124"/>
      <c r="E48" s="125"/>
      <c r="F48" s="126"/>
    </row>
    <row r="49" spans="2:6" x14ac:dyDescent="0.2">
      <c r="B49" s="121"/>
      <c r="C49" s="149" t="s">
        <v>135</v>
      </c>
      <c r="D49" s="124">
        <v>4</v>
      </c>
      <c r="E49" s="125"/>
      <c r="F49" s="126"/>
    </row>
    <row r="50" spans="2:6" x14ac:dyDescent="0.2">
      <c r="B50" s="121"/>
      <c r="C50" s="149" t="s">
        <v>213</v>
      </c>
      <c r="D50" s="124"/>
      <c r="E50" s="125"/>
      <c r="F50" s="126"/>
    </row>
    <row r="51" spans="2:6" x14ac:dyDescent="0.2">
      <c r="B51" s="121"/>
      <c r="C51" s="149" t="s">
        <v>178</v>
      </c>
      <c r="D51" s="124"/>
      <c r="E51" s="125"/>
      <c r="F51" s="126"/>
    </row>
    <row r="52" spans="2:6" x14ac:dyDescent="0.2">
      <c r="B52" s="121"/>
      <c r="C52" s="149" t="s">
        <v>214</v>
      </c>
      <c r="D52" s="124"/>
      <c r="E52" s="125"/>
      <c r="F52" s="126"/>
    </row>
    <row r="53" spans="2:6" x14ac:dyDescent="0.2">
      <c r="B53" s="121"/>
      <c r="C53" s="149"/>
      <c r="D53" s="124"/>
      <c r="E53" s="125"/>
      <c r="F53" s="126"/>
    </row>
    <row r="54" spans="2:6" x14ac:dyDescent="0.2">
      <c r="B54" s="121"/>
      <c r="C54" s="149" t="s">
        <v>136</v>
      </c>
      <c r="D54" s="124">
        <v>4</v>
      </c>
      <c r="E54" s="125"/>
      <c r="F54" s="126"/>
    </row>
    <row r="55" spans="2:6" x14ac:dyDescent="0.2">
      <c r="B55" s="121"/>
      <c r="C55" s="149" t="s">
        <v>176</v>
      </c>
      <c r="D55" s="124"/>
      <c r="E55" s="125"/>
      <c r="F55" s="126"/>
    </row>
    <row r="56" spans="2:6" x14ac:dyDescent="0.2">
      <c r="B56" s="121"/>
      <c r="C56" s="149" t="s">
        <v>215</v>
      </c>
      <c r="D56" s="124"/>
      <c r="E56" s="125"/>
      <c r="F56" s="126"/>
    </row>
    <row r="57" spans="2:6" x14ac:dyDescent="0.2">
      <c r="B57" s="121"/>
      <c r="C57" s="149" t="s">
        <v>177</v>
      </c>
      <c r="D57" s="124"/>
      <c r="E57" s="125"/>
      <c r="F57" s="126"/>
    </row>
    <row r="58" spans="2:6" x14ac:dyDescent="0.2">
      <c r="C58" s="152"/>
      <c r="D58" s="127"/>
      <c r="E58" s="128"/>
      <c r="F58" s="129"/>
    </row>
    <row r="59" spans="2:6" ht="15" thickBot="1" x14ac:dyDescent="0.25">
      <c r="B59" s="118"/>
      <c r="C59" s="153"/>
      <c r="D59" s="130"/>
      <c r="E59" s="130"/>
      <c r="F59" s="118"/>
    </row>
    <row r="60" spans="2:6" ht="16.5" thickBot="1" x14ac:dyDescent="0.3">
      <c r="C60" s="154" t="s">
        <v>137</v>
      </c>
      <c r="D60" s="131">
        <f>SUM(D8:D55)</f>
        <v>35</v>
      </c>
      <c r="E60" s="132">
        <f>SUM(E8:E55)</f>
        <v>0</v>
      </c>
    </row>
    <row r="61" spans="2:6" ht="15.75" x14ac:dyDescent="0.25">
      <c r="C61" s="133" t="s">
        <v>165</v>
      </c>
      <c r="E61" s="140"/>
      <c r="F61" s="134" t="s">
        <v>212</v>
      </c>
    </row>
    <row r="62" spans="2:6" ht="15.75" x14ac:dyDescent="0.25">
      <c r="C62" s="155" t="s">
        <v>166</v>
      </c>
      <c r="D62" s="135"/>
      <c r="E62" s="141">
        <f>D60-(E60+E61)</f>
        <v>35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Introduction </vt:lpstr>
      <vt:lpstr>Honor Code</vt:lpstr>
      <vt:lpstr>T 1 - VLOOKUP()</vt:lpstr>
      <vt:lpstr>Lookup Tables</vt:lpstr>
      <vt:lpstr>T 2 - Report Outlines</vt:lpstr>
      <vt:lpstr>T 3 - Text to Columns</vt:lpstr>
      <vt:lpstr>T 4 - Summarize &amp; Subtotal</vt:lpstr>
      <vt:lpstr>T 5 - FREQUENCY()</vt:lpstr>
      <vt:lpstr>T 6 - Data Validation</vt:lpstr>
      <vt:lpstr>T 7 - Pivot Tables</vt:lpstr>
      <vt:lpstr>Scoring Guide</vt:lpstr>
      <vt:lpstr>Clients</vt:lpstr>
      <vt:lpstr>'T 6 - Data Validation'!CriteriaList</vt:lpstr>
      <vt:lpstr>Database</vt:lpstr>
      <vt:lpstr>Employees</vt:lpstr>
      <vt:lpstr>'T 5 - FREQUENCY()'!PMReturns</vt:lpstr>
      <vt:lpstr>SPreturns</vt:lpstr>
      <vt:lpstr>Work_Codes</vt:lpstr>
    </vt:vector>
  </TitlesOfParts>
  <Company>Fuqua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Ecklund</dc:creator>
  <cp:lastModifiedBy>Salman Azhar, Ph.D.</cp:lastModifiedBy>
  <cp:lastPrinted>2008-06-06T14:47:34Z</cp:lastPrinted>
  <dcterms:created xsi:type="dcterms:W3CDTF">1998-06-16T17:37:51Z</dcterms:created>
  <dcterms:modified xsi:type="dcterms:W3CDTF">2025-07-21T20:34:50Z</dcterms:modified>
</cp:coreProperties>
</file>